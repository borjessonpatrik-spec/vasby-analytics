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trikborjesson/Documents/Innebandy/Stats/Väsby s26:27/"/>
    </mc:Choice>
  </mc:AlternateContent>
  <xr:revisionPtr revIDLastSave="0" documentId="13_ncr:1_{8FA54A45-DDCB-1A4A-AC77-3D803BDBB0D3}" xr6:coauthVersionLast="47" xr6:coauthVersionMax="47" xr10:uidLastSave="{00000000-0000-0000-0000-000000000000}"/>
  <bookViews>
    <workbookView xWindow="0" yWindow="500" windowWidth="28800" windowHeight="16540" xr2:uid="{3C56BD9A-420D-5D44-853F-212074A8FEC4}"/>
  </bookViews>
  <sheets>
    <sheet name="Sammanställning" sheetId="7" r:id="rId1"/>
    <sheet name="p1" sheetId="1" r:id="rId2"/>
    <sheet name="p2" sheetId="5" r:id="rId3"/>
    <sheet name="p3" sheetId="8" r:id="rId4"/>
    <sheet name="p4" sheetId="6" r:id="rId5"/>
    <sheet name="SkottSpelare" sheetId="10" r:id="rId6"/>
    <sheet name="Träffbild effektivitet + ZonRäd" sheetId="4" r:id="rId7"/>
    <sheet name="Zonkarta" sheetId="12" r:id="rId8"/>
    <sheet name="Data" sheetId="13" r:id="rId9"/>
  </sheets>
  <definedNames>
    <definedName name="z1_">Zonkarta!$F$4</definedName>
    <definedName name="z10_">Zonkarta!$G$15</definedName>
    <definedName name="z11_">Zonkarta!$I$15</definedName>
    <definedName name="z12_">Zonkarta!$K$15</definedName>
    <definedName name="z2_">Zonkarta!$I$4</definedName>
    <definedName name="z3_">Zonkarta!$F$7</definedName>
    <definedName name="z4_">Zonkarta!$H$7</definedName>
    <definedName name="z5_">Zonkarta!$J$7</definedName>
    <definedName name="z6_">Zonkarta!$F$11</definedName>
    <definedName name="z7_">Zonkarta!$G$11</definedName>
    <definedName name="z8_">Zonkarta!$K$11</definedName>
    <definedName name="z9_">Zonkarta!$F$15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1" i="7" l="1"/>
  <c r="X31" i="7"/>
  <c r="V31" i="7"/>
  <c r="AN9" i="7"/>
  <c r="AM3" i="7"/>
  <c r="AN3" i="7"/>
  <c r="AO3" i="7"/>
  <c r="AP3" i="7"/>
  <c r="AS3" i="7"/>
  <c r="AT3" i="7"/>
  <c r="AU3" i="7"/>
  <c r="AV3" i="7"/>
  <c r="AW3" i="7"/>
  <c r="AX3" i="7"/>
  <c r="AY3" i="7"/>
  <c r="AM23" i="7"/>
  <c r="AN23" i="7"/>
  <c r="AO23" i="7"/>
  <c r="AP23" i="7"/>
  <c r="AS23" i="7"/>
  <c r="AT23" i="7"/>
  <c r="AU23" i="7"/>
  <c r="AV23" i="7"/>
  <c r="AW23" i="7"/>
  <c r="AX23" i="7"/>
  <c r="AY23" i="7"/>
  <c r="AM19" i="7"/>
  <c r="AN19" i="7"/>
  <c r="AO19" i="7"/>
  <c r="AP19" i="7"/>
  <c r="AS19" i="7"/>
  <c r="AT19" i="7"/>
  <c r="AU19" i="7"/>
  <c r="AV19" i="7"/>
  <c r="AW19" i="7"/>
  <c r="AX19" i="7"/>
  <c r="AY19" i="7"/>
  <c r="AM20" i="7"/>
  <c r="AN20" i="7"/>
  <c r="AO20" i="7"/>
  <c r="AP20" i="7"/>
  <c r="AS20" i="7"/>
  <c r="AT20" i="7"/>
  <c r="AU20" i="7"/>
  <c r="AV20" i="7"/>
  <c r="AW20" i="7"/>
  <c r="AX20" i="7"/>
  <c r="AY20" i="7"/>
  <c r="AM21" i="7"/>
  <c r="AN21" i="7"/>
  <c r="AO21" i="7"/>
  <c r="AP21" i="7"/>
  <c r="AS21" i="7"/>
  <c r="AT21" i="7"/>
  <c r="AU21" i="7"/>
  <c r="AV21" i="7"/>
  <c r="AW21" i="7"/>
  <c r="AX21" i="7"/>
  <c r="AY21" i="7"/>
  <c r="AM15" i="7"/>
  <c r="AN15" i="7"/>
  <c r="AO15" i="7"/>
  <c r="AP15" i="7"/>
  <c r="AS15" i="7"/>
  <c r="AT15" i="7"/>
  <c r="AU15" i="7"/>
  <c r="AV15" i="7"/>
  <c r="AW15" i="7"/>
  <c r="AX15" i="7"/>
  <c r="AY15" i="7"/>
  <c r="AM9" i="7"/>
  <c r="AO9" i="7"/>
  <c r="AP9" i="7"/>
  <c r="AS9" i="7"/>
  <c r="AT9" i="7"/>
  <c r="AU9" i="7"/>
  <c r="AV9" i="7"/>
  <c r="AW9" i="7"/>
  <c r="AX9" i="7"/>
  <c r="AY9" i="7"/>
  <c r="AM10" i="7"/>
  <c r="AN10" i="7"/>
  <c r="AO10" i="7"/>
  <c r="AP10" i="7"/>
  <c r="AS10" i="7"/>
  <c r="AT10" i="7"/>
  <c r="AU10" i="7"/>
  <c r="AV10" i="7"/>
  <c r="AW10" i="7"/>
  <c r="AX10" i="7"/>
  <c r="AY10" i="7"/>
  <c r="AM11" i="7"/>
  <c r="AN11" i="7"/>
  <c r="AO11" i="7"/>
  <c r="AP11" i="7"/>
  <c r="AS11" i="7"/>
  <c r="AT11" i="7"/>
  <c r="AU11" i="7"/>
  <c r="AV11" i="7"/>
  <c r="AW11" i="7"/>
  <c r="AX11" i="7"/>
  <c r="AY11" i="7"/>
  <c r="AM5" i="7"/>
  <c r="AN5" i="7"/>
  <c r="AO5" i="7"/>
  <c r="AP5" i="7"/>
  <c r="AS5" i="7"/>
  <c r="AT5" i="7"/>
  <c r="AU5" i="7"/>
  <c r="AV5" i="7"/>
  <c r="AW5" i="7"/>
  <c r="AX5" i="7"/>
  <c r="AY5" i="7"/>
  <c r="AQ3" i="7" l="1"/>
  <c r="AQ15" i="7"/>
  <c r="AQ21" i="7"/>
  <c r="AQ19" i="7"/>
  <c r="AR3" i="7"/>
  <c r="AQ5" i="7"/>
  <c r="AR19" i="7"/>
  <c r="AR5" i="7"/>
  <c r="AR21" i="7"/>
  <c r="AR11" i="7"/>
  <c r="AQ9" i="7"/>
  <c r="AQ11" i="7"/>
  <c r="AR9" i="7"/>
  <c r="AR15" i="7"/>
  <c r="AW4" i="7" l="1"/>
  <c r="AX4" i="7"/>
  <c r="AY4" i="7"/>
  <c r="AW6" i="7"/>
  <c r="AX6" i="7"/>
  <c r="AY6" i="7"/>
  <c r="AW7" i="7"/>
  <c r="AX7" i="7"/>
  <c r="AY7" i="7"/>
  <c r="AW8" i="7"/>
  <c r="AX8" i="7"/>
  <c r="AY8" i="7"/>
  <c r="AW12" i="7"/>
  <c r="AX12" i="7"/>
  <c r="AY12" i="7"/>
  <c r="AW13" i="7"/>
  <c r="AX13" i="7"/>
  <c r="AY13" i="7"/>
  <c r="AW14" i="7"/>
  <c r="AX14" i="7"/>
  <c r="AY14" i="7"/>
  <c r="AW16" i="7"/>
  <c r="AX16" i="7"/>
  <c r="AY16" i="7"/>
  <c r="AW17" i="7"/>
  <c r="AX17" i="7"/>
  <c r="AY17" i="7"/>
  <c r="AW18" i="7"/>
  <c r="AX18" i="7"/>
  <c r="AY18" i="7"/>
  <c r="AW22" i="7"/>
  <c r="AX22" i="7"/>
  <c r="AY22" i="7"/>
  <c r="AW24" i="7"/>
  <c r="AX24" i="7"/>
  <c r="AY24" i="7"/>
  <c r="AY2" i="7"/>
  <c r="AW2" i="7"/>
  <c r="AX2" i="7"/>
  <c r="AU4" i="7"/>
  <c r="AV4" i="7"/>
  <c r="AU6" i="7"/>
  <c r="AV6" i="7"/>
  <c r="AU7" i="7"/>
  <c r="AV7" i="7"/>
  <c r="AU8" i="7"/>
  <c r="AV8" i="7"/>
  <c r="AU12" i="7"/>
  <c r="AV12" i="7"/>
  <c r="AU13" i="7"/>
  <c r="AV13" i="7"/>
  <c r="AU14" i="7"/>
  <c r="AV14" i="7"/>
  <c r="AU16" i="7"/>
  <c r="AV16" i="7"/>
  <c r="AU17" i="7"/>
  <c r="AV17" i="7"/>
  <c r="AU18" i="7"/>
  <c r="AV18" i="7"/>
  <c r="AU22" i="7"/>
  <c r="AV22" i="7"/>
  <c r="AU24" i="7"/>
  <c r="AV24" i="7"/>
  <c r="AV2" i="7"/>
  <c r="AT4" i="7" l="1"/>
  <c r="AT6" i="7"/>
  <c r="AT7" i="7"/>
  <c r="AT8" i="7"/>
  <c r="AT12" i="7"/>
  <c r="AT13" i="7"/>
  <c r="AT14" i="7"/>
  <c r="AT16" i="7"/>
  <c r="AT17" i="7"/>
  <c r="AT18" i="7"/>
  <c r="AT22" i="7"/>
  <c r="AT24" i="7"/>
  <c r="AT2" i="7"/>
  <c r="AS6" i="7"/>
  <c r="AS7" i="7"/>
  <c r="AS8" i="7"/>
  <c r="AS12" i="7"/>
  <c r="AS13" i="7"/>
  <c r="AS14" i="7"/>
  <c r="AS16" i="7"/>
  <c r="AS17" i="7"/>
  <c r="AS18" i="7"/>
  <c r="AS22" i="7"/>
  <c r="AS24" i="7"/>
  <c r="AP24" i="7"/>
  <c r="AP22" i="7"/>
  <c r="AP18" i="7"/>
  <c r="AP17" i="7"/>
  <c r="AP16" i="7"/>
  <c r="AP14" i="7"/>
  <c r="AP13" i="7"/>
  <c r="AP12" i="7"/>
  <c r="AP2" i="7"/>
  <c r="AO2" i="7"/>
  <c r="AO4" i="7"/>
  <c r="AO6" i="7"/>
  <c r="AO7" i="7"/>
  <c r="AO8" i="7"/>
  <c r="AO12" i="7"/>
  <c r="AO13" i="7"/>
  <c r="AO14" i="7"/>
  <c r="AO16" i="7"/>
  <c r="AO17" i="7"/>
  <c r="AO18" i="7"/>
  <c r="AO22" i="7"/>
  <c r="AO24" i="7"/>
  <c r="AN24" i="7"/>
  <c r="AM24" i="7"/>
  <c r="AN22" i="7"/>
  <c r="AN18" i="7"/>
  <c r="AN17" i="7"/>
  <c r="AN16" i="7"/>
  <c r="AN14" i="7"/>
  <c r="AN13" i="7"/>
  <c r="AN12" i="7"/>
  <c r="AP8" i="7"/>
  <c r="AN8" i="7"/>
  <c r="AP7" i="7"/>
  <c r="AN7" i="7"/>
  <c r="AP6" i="7"/>
  <c r="AN6" i="7"/>
  <c r="AM6" i="7"/>
  <c r="AN4" i="7"/>
  <c r="AN2" i="7"/>
  <c r="AM22" i="7"/>
  <c r="AM18" i="7"/>
  <c r="AM17" i="7"/>
  <c r="AM16" i="7"/>
  <c r="AM14" i="7"/>
  <c r="AM13" i="7"/>
  <c r="AM12" i="7"/>
  <c r="AM8" i="7"/>
  <c r="AM7" i="7"/>
  <c r="AM4" i="7"/>
  <c r="AM2" i="7"/>
  <c r="F15" i="6"/>
  <c r="F16" i="6"/>
  <c r="F17" i="6"/>
  <c r="F14" i="6"/>
  <c r="K15" i="6"/>
  <c r="K16" i="6"/>
  <c r="K17" i="6"/>
  <c r="K14" i="6"/>
  <c r="O15" i="6"/>
  <c r="O16" i="6"/>
  <c r="O17" i="6"/>
  <c r="O14" i="6"/>
  <c r="O10" i="6"/>
  <c r="O11" i="6"/>
  <c r="O12" i="6"/>
  <c r="O9" i="6"/>
  <c r="G10" i="6"/>
  <c r="G11" i="6"/>
  <c r="G12" i="6"/>
  <c r="G9" i="6"/>
  <c r="O5" i="6"/>
  <c r="O6" i="6"/>
  <c r="O7" i="6"/>
  <c r="O4" i="6"/>
  <c r="I5" i="6"/>
  <c r="I6" i="6"/>
  <c r="I7" i="6"/>
  <c r="I4" i="6"/>
  <c r="B15" i="6"/>
  <c r="B16" i="6"/>
  <c r="B17" i="6"/>
  <c r="B14" i="6"/>
  <c r="B10" i="6"/>
  <c r="B11" i="6"/>
  <c r="B12" i="6"/>
  <c r="B9" i="6"/>
  <c r="B5" i="6"/>
  <c r="B6" i="6"/>
  <c r="B7" i="6"/>
  <c r="B4" i="6"/>
  <c r="O15" i="8"/>
  <c r="O16" i="8"/>
  <c r="O17" i="8"/>
  <c r="O14" i="8"/>
  <c r="K15" i="8"/>
  <c r="K16" i="8"/>
  <c r="K17" i="8"/>
  <c r="K14" i="8"/>
  <c r="F15" i="8"/>
  <c r="F16" i="8"/>
  <c r="F17" i="8"/>
  <c r="F14" i="8"/>
  <c r="O10" i="8"/>
  <c r="O11" i="8"/>
  <c r="O12" i="8"/>
  <c r="O9" i="8"/>
  <c r="G10" i="8"/>
  <c r="G11" i="8"/>
  <c r="G12" i="8"/>
  <c r="G9" i="8"/>
  <c r="B15" i="8"/>
  <c r="B16" i="8"/>
  <c r="B17" i="8"/>
  <c r="B14" i="8"/>
  <c r="B10" i="8"/>
  <c r="B11" i="8"/>
  <c r="B12" i="8"/>
  <c r="B9" i="8"/>
  <c r="O5" i="8"/>
  <c r="O6" i="8"/>
  <c r="O7" i="8"/>
  <c r="O4" i="8"/>
  <c r="I5" i="8"/>
  <c r="I6" i="8"/>
  <c r="I7" i="8"/>
  <c r="I4" i="8"/>
  <c r="B5" i="8"/>
  <c r="B6" i="8"/>
  <c r="B7" i="8"/>
  <c r="B4" i="8"/>
  <c r="O15" i="5"/>
  <c r="O16" i="5"/>
  <c r="O17" i="5"/>
  <c r="O14" i="5"/>
  <c r="K15" i="5"/>
  <c r="K16" i="5"/>
  <c r="K17" i="5"/>
  <c r="K14" i="5"/>
  <c r="F15" i="5"/>
  <c r="F16" i="5"/>
  <c r="F17" i="5"/>
  <c r="F14" i="5"/>
  <c r="O9" i="5"/>
  <c r="O5" i="5"/>
  <c r="O6" i="5"/>
  <c r="O7" i="5"/>
  <c r="O4" i="5"/>
  <c r="I4" i="5"/>
  <c r="I4" i="1"/>
  <c r="B15" i="5"/>
  <c r="B16" i="5"/>
  <c r="B17" i="5"/>
  <c r="B14" i="5"/>
  <c r="B10" i="5"/>
  <c r="B11" i="5"/>
  <c r="B12" i="5"/>
  <c r="B9" i="5"/>
  <c r="B5" i="5"/>
  <c r="B6" i="5"/>
  <c r="B7" i="5"/>
  <c r="B4" i="5"/>
  <c r="O5" i="1"/>
  <c r="O6" i="1"/>
  <c r="O7" i="1"/>
  <c r="O4" i="1"/>
  <c r="O10" i="1"/>
  <c r="O11" i="1"/>
  <c r="O12" i="1"/>
  <c r="O9" i="1"/>
  <c r="O14" i="1"/>
  <c r="K15" i="1"/>
  <c r="K16" i="1"/>
  <c r="K17" i="1"/>
  <c r="O15" i="1"/>
  <c r="O16" i="1"/>
  <c r="O17" i="1"/>
  <c r="K14" i="1"/>
  <c r="F15" i="1"/>
  <c r="F16" i="1"/>
  <c r="F17" i="1"/>
  <c r="F14" i="1"/>
  <c r="G10" i="1"/>
  <c r="G11" i="1"/>
  <c r="G12" i="1"/>
  <c r="G9" i="1"/>
  <c r="I5" i="1"/>
  <c r="I6" i="1"/>
  <c r="I7" i="1"/>
  <c r="B15" i="1"/>
  <c r="B16" i="1"/>
  <c r="B17" i="1"/>
  <c r="B14" i="1"/>
  <c r="B10" i="1"/>
  <c r="B11" i="1"/>
  <c r="B12" i="1"/>
  <c r="B9" i="1"/>
  <c r="B6" i="1"/>
  <c r="B7" i="1"/>
  <c r="B5" i="1"/>
  <c r="B4" i="1"/>
  <c r="N33" i="7"/>
  <c r="K34" i="7" s="1"/>
  <c r="M34" i="7" s="1"/>
  <c r="O10" i="5"/>
  <c r="O11" i="5"/>
  <c r="O12" i="5"/>
  <c r="G10" i="5"/>
  <c r="G11" i="5"/>
  <c r="G12" i="5"/>
  <c r="G9" i="5"/>
  <c r="I5" i="5"/>
  <c r="I6" i="5"/>
  <c r="I7" i="5"/>
  <c r="K32" i="6" l="1"/>
  <c r="M32" i="6" s="1"/>
  <c r="K32" i="8"/>
  <c r="M32" i="8" s="1"/>
  <c r="K32" i="5"/>
  <c r="M32" i="5" s="1"/>
  <c r="K32" i="1"/>
  <c r="M32" i="1" s="1"/>
  <c r="X24" i="7"/>
  <c r="V24" i="7"/>
  <c r="T24" i="7"/>
  <c r="AU2" i="7" l="1"/>
  <c r="AP4" i="7" l="1"/>
  <c r="AP2" i="1"/>
  <c r="AO2" i="1"/>
  <c r="AN2" i="1"/>
  <c r="AM2" i="1"/>
  <c r="AR13" i="6"/>
  <c r="AQ13" i="6"/>
  <c r="AR12" i="8"/>
  <c r="AQ12" i="8"/>
  <c r="AR12" i="5"/>
  <c r="AQ12" i="5"/>
  <c r="AR12" i="1"/>
  <c r="AQ12" i="1"/>
  <c r="G25" i="8"/>
  <c r="N29" i="8" s="1"/>
  <c r="AR5" i="8"/>
  <c r="AQ5" i="8"/>
  <c r="G24" i="8"/>
  <c r="AR28" i="8"/>
  <c r="AQ28" i="8"/>
  <c r="G23" i="8"/>
  <c r="AR27" i="8"/>
  <c r="AQ27" i="8"/>
  <c r="G22" i="8"/>
  <c r="J29" i="8" s="1"/>
  <c r="AR26" i="8"/>
  <c r="AQ26" i="8"/>
  <c r="AR25" i="8"/>
  <c r="AQ25" i="8"/>
  <c r="AR18" i="8"/>
  <c r="AQ18" i="8"/>
  <c r="AR23" i="8"/>
  <c r="AQ23" i="8"/>
  <c r="AR22" i="8"/>
  <c r="AQ22" i="8"/>
  <c r="AR20" i="8"/>
  <c r="AQ20" i="8"/>
  <c r="AR17" i="8"/>
  <c r="AQ17" i="8"/>
  <c r="AR16" i="8"/>
  <c r="AQ16" i="8"/>
  <c r="AR14" i="8"/>
  <c r="AQ14" i="8"/>
  <c r="AR13" i="8"/>
  <c r="AQ13" i="8"/>
  <c r="AR15" i="8"/>
  <c r="AQ15" i="8"/>
  <c r="AR11" i="8"/>
  <c r="AQ11" i="8"/>
  <c r="AR9" i="8"/>
  <c r="AQ9" i="8"/>
  <c r="AR8" i="8"/>
  <c r="AQ8" i="8"/>
  <c r="AR19" i="8"/>
  <c r="AQ19" i="8"/>
  <c r="AR7" i="8"/>
  <c r="AQ7" i="8"/>
  <c r="AR6" i="8"/>
  <c r="AQ6" i="8"/>
  <c r="AR4" i="8"/>
  <c r="AQ4" i="8"/>
  <c r="AR3" i="8"/>
  <c r="AQ3" i="8"/>
  <c r="AR2" i="8"/>
  <c r="AQ2" i="8"/>
  <c r="AS4" i="7"/>
  <c r="AS2" i="7"/>
  <c r="AQ17" i="7"/>
  <c r="AR5" i="6"/>
  <c r="AQ5" i="6"/>
  <c r="AR28" i="6"/>
  <c r="AQ28" i="6"/>
  <c r="AR27" i="6"/>
  <c r="AQ27" i="6"/>
  <c r="AR26" i="6"/>
  <c r="AQ26" i="6"/>
  <c r="AR25" i="6"/>
  <c r="AQ25" i="6"/>
  <c r="AR19" i="6"/>
  <c r="AQ19" i="6"/>
  <c r="AR23" i="6"/>
  <c r="AQ23" i="6"/>
  <c r="AR22" i="6"/>
  <c r="AQ22" i="6"/>
  <c r="AR20" i="6"/>
  <c r="AQ20" i="6"/>
  <c r="AR18" i="6"/>
  <c r="AQ18" i="6"/>
  <c r="AR17" i="6"/>
  <c r="AQ17" i="6"/>
  <c r="AR15" i="6"/>
  <c r="AQ15" i="6"/>
  <c r="AR14" i="6"/>
  <c r="AQ14" i="6"/>
  <c r="AR16" i="6"/>
  <c r="AQ16" i="6"/>
  <c r="AR12" i="6"/>
  <c r="AQ12" i="6"/>
  <c r="AR10" i="6"/>
  <c r="AQ10" i="6"/>
  <c r="AR9" i="6"/>
  <c r="AQ9" i="6"/>
  <c r="AR8" i="6"/>
  <c r="AQ8" i="6"/>
  <c r="AR7" i="6"/>
  <c r="AQ7" i="6"/>
  <c r="AR6" i="6"/>
  <c r="AQ6" i="6"/>
  <c r="AR4" i="6"/>
  <c r="AQ4" i="6"/>
  <c r="AR3" i="6"/>
  <c r="AQ3" i="6"/>
  <c r="AR2" i="6"/>
  <c r="AQ2" i="6"/>
  <c r="AR5" i="5"/>
  <c r="AQ5" i="5"/>
  <c r="AR28" i="5"/>
  <c r="AQ28" i="5"/>
  <c r="AR27" i="5"/>
  <c r="AQ27" i="5"/>
  <c r="AR26" i="5"/>
  <c r="AQ26" i="5"/>
  <c r="AR25" i="5"/>
  <c r="AQ25" i="5"/>
  <c r="AR18" i="5"/>
  <c r="AQ18" i="5"/>
  <c r="AR23" i="5"/>
  <c r="AQ23" i="5"/>
  <c r="AR22" i="5"/>
  <c r="AQ22" i="5"/>
  <c r="AR20" i="5"/>
  <c r="AQ20" i="5"/>
  <c r="AR17" i="5"/>
  <c r="AQ17" i="5"/>
  <c r="AR16" i="5"/>
  <c r="AQ16" i="5"/>
  <c r="AR14" i="5"/>
  <c r="AQ14" i="5"/>
  <c r="AR13" i="5"/>
  <c r="AQ13" i="5"/>
  <c r="AR15" i="5"/>
  <c r="AQ15" i="5"/>
  <c r="AR11" i="5"/>
  <c r="AQ11" i="5"/>
  <c r="AR9" i="5"/>
  <c r="AQ9" i="5"/>
  <c r="AR8" i="5"/>
  <c r="AQ8" i="5"/>
  <c r="AR19" i="5"/>
  <c r="AQ19" i="5"/>
  <c r="AR7" i="5"/>
  <c r="AQ7" i="5"/>
  <c r="AR6" i="5"/>
  <c r="AQ6" i="5"/>
  <c r="AR4" i="5"/>
  <c r="AQ4" i="5"/>
  <c r="AR3" i="5"/>
  <c r="AQ3" i="5"/>
  <c r="AR2" i="5"/>
  <c r="AQ2" i="5"/>
  <c r="AR5" i="1"/>
  <c r="AQ5" i="1"/>
  <c r="AR28" i="1"/>
  <c r="AQ28" i="1"/>
  <c r="AR27" i="1"/>
  <c r="AQ27" i="1"/>
  <c r="AR26" i="1"/>
  <c r="AQ26" i="1"/>
  <c r="AR25" i="1"/>
  <c r="AQ25" i="1"/>
  <c r="AR18" i="1"/>
  <c r="AQ18" i="1"/>
  <c r="AR23" i="1"/>
  <c r="AQ23" i="1"/>
  <c r="AR22" i="1"/>
  <c r="AQ22" i="1"/>
  <c r="AR20" i="1"/>
  <c r="AQ20" i="1"/>
  <c r="AR17" i="1"/>
  <c r="AQ17" i="1"/>
  <c r="AR16" i="1"/>
  <c r="AQ16" i="1"/>
  <c r="AR14" i="1"/>
  <c r="AQ14" i="1"/>
  <c r="AR13" i="1"/>
  <c r="AQ13" i="1"/>
  <c r="AR15" i="1"/>
  <c r="AQ15" i="1"/>
  <c r="AR11" i="1"/>
  <c r="AQ11" i="1"/>
  <c r="AR9" i="1"/>
  <c r="AQ9" i="1"/>
  <c r="AR8" i="1"/>
  <c r="AQ8" i="1"/>
  <c r="AR19" i="1"/>
  <c r="AQ19" i="1"/>
  <c r="AR7" i="1"/>
  <c r="AQ7" i="1"/>
  <c r="AR6" i="1"/>
  <c r="AQ6" i="1"/>
  <c r="AR4" i="1"/>
  <c r="AQ4" i="1"/>
  <c r="AR3" i="1"/>
  <c r="AQ3" i="1"/>
  <c r="C23" i="1" l="1"/>
  <c r="AQ2" i="1"/>
  <c r="C24" i="1"/>
  <c r="C22" i="1"/>
  <c r="C25" i="1"/>
  <c r="AQ18" i="7"/>
  <c r="AQ14" i="7"/>
  <c r="AR2" i="1"/>
  <c r="AQ16" i="7"/>
  <c r="L29" i="8"/>
  <c r="P29" i="8" s="1"/>
  <c r="C23" i="8"/>
  <c r="C25" i="8"/>
  <c r="C24" i="8"/>
  <c r="C22" i="8"/>
  <c r="AQ6" i="7"/>
  <c r="AQ13" i="7"/>
  <c r="AR17" i="7"/>
  <c r="AR14" i="7"/>
  <c r="AQ22" i="7"/>
  <c r="AQ7" i="7"/>
  <c r="AR16" i="7"/>
  <c r="AR18" i="7"/>
  <c r="AR24" i="7"/>
  <c r="AR12" i="7"/>
  <c r="AQ8" i="7"/>
  <c r="AR4" i="7"/>
  <c r="AR13" i="7"/>
  <c r="AR8" i="7"/>
  <c r="AQ2" i="7"/>
  <c r="AQ24" i="7"/>
  <c r="AQ12" i="7"/>
  <c r="AQ4" i="7"/>
  <c r="AR22" i="7"/>
  <c r="AR7" i="7"/>
  <c r="AR6" i="7"/>
  <c r="AR2" i="7"/>
  <c r="G23" i="1"/>
  <c r="R31" i="7"/>
  <c r="R30" i="7"/>
  <c r="C24" i="6" l="1"/>
  <c r="C24" i="5"/>
  <c r="G25" i="6"/>
  <c r="C22" i="6"/>
  <c r="G25" i="5"/>
  <c r="C22" i="5"/>
  <c r="G25" i="1"/>
  <c r="N29" i="1" s="1"/>
  <c r="V5" i="7"/>
  <c r="V6" i="7"/>
  <c r="V4" i="7"/>
  <c r="V7" i="7"/>
  <c r="B15" i="7"/>
  <c r="B16" i="7"/>
  <c r="B17" i="7"/>
  <c r="B14" i="7"/>
  <c r="B10" i="7"/>
  <c r="B11" i="7"/>
  <c r="B12" i="7"/>
  <c r="B9" i="7"/>
  <c r="B5" i="7"/>
  <c r="B6" i="7"/>
  <c r="B7" i="7"/>
  <c r="B4" i="7"/>
  <c r="G24" i="6"/>
  <c r="G23" i="6"/>
  <c r="G22" i="6"/>
  <c r="G24" i="5"/>
  <c r="G23" i="5"/>
  <c r="G22" i="5"/>
  <c r="C25" i="6"/>
  <c r="C23" i="6"/>
  <c r="C25" i="5"/>
  <c r="C23" i="5"/>
  <c r="G24" i="1"/>
  <c r="G22" i="1"/>
  <c r="AI15" i="7"/>
  <c r="AI16" i="7"/>
  <c r="AI17" i="7"/>
  <c r="AI14" i="7"/>
  <c r="AI5" i="7"/>
  <c r="AI6" i="7"/>
  <c r="AI7" i="7"/>
  <c r="AI4" i="7"/>
  <c r="AI10" i="7"/>
  <c r="AI11" i="7"/>
  <c r="AI12" i="7"/>
  <c r="AI9" i="7"/>
  <c r="AE15" i="7"/>
  <c r="AE16" i="7"/>
  <c r="AE17" i="7"/>
  <c r="AE14" i="7"/>
  <c r="Z15" i="7"/>
  <c r="Z16" i="7"/>
  <c r="Z17" i="7"/>
  <c r="Z14" i="7"/>
  <c r="AA10" i="7"/>
  <c r="AA11" i="7"/>
  <c r="AA12" i="7"/>
  <c r="AA9" i="7"/>
  <c r="AC5" i="7"/>
  <c r="AC6" i="7"/>
  <c r="AC7" i="7"/>
  <c r="AC4" i="7"/>
  <c r="V15" i="7"/>
  <c r="V16" i="7"/>
  <c r="V17" i="7"/>
  <c r="V14" i="7"/>
  <c r="V10" i="7"/>
  <c r="V11" i="7"/>
  <c r="V12" i="7"/>
  <c r="V9" i="7"/>
  <c r="K15" i="7"/>
  <c r="K16" i="7"/>
  <c r="K17" i="7"/>
  <c r="K14" i="7"/>
  <c r="O15" i="7"/>
  <c r="O16" i="7"/>
  <c r="O17" i="7"/>
  <c r="O14" i="7"/>
  <c r="O10" i="7"/>
  <c r="O11" i="7"/>
  <c r="O12" i="7"/>
  <c r="O9" i="7"/>
  <c r="O5" i="7"/>
  <c r="O6" i="7"/>
  <c r="O7" i="7"/>
  <c r="O4" i="7"/>
  <c r="I5" i="7"/>
  <c r="I6" i="7"/>
  <c r="I7" i="7"/>
  <c r="I4" i="7"/>
  <c r="G10" i="7"/>
  <c r="G11" i="7"/>
  <c r="G12" i="7"/>
  <c r="G9" i="7"/>
  <c r="F16" i="7"/>
  <c r="F17" i="7"/>
  <c r="F15" i="7"/>
  <c r="F14" i="7"/>
  <c r="O25" i="7"/>
  <c r="O24" i="7"/>
  <c r="M25" i="7"/>
  <c r="M24" i="7"/>
  <c r="K25" i="7"/>
  <c r="K24" i="7"/>
  <c r="H29" i="7"/>
  <c r="G29" i="7"/>
  <c r="F29" i="7"/>
  <c r="E29" i="7"/>
  <c r="A29" i="7"/>
  <c r="C29" i="7"/>
  <c r="I3" i="7" l="1"/>
  <c r="J3" i="7" s="1"/>
  <c r="AC3" i="7"/>
  <c r="AD3" i="7" s="1"/>
  <c r="G8" i="7"/>
  <c r="H8" i="7" s="1"/>
  <c r="O8" i="7"/>
  <c r="P8" i="7" s="1"/>
  <c r="K13" i="7"/>
  <c r="L13" i="7" s="1"/>
  <c r="V8" i="7"/>
  <c r="W8" i="7" s="1"/>
  <c r="V3" i="7"/>
  <c r="W3" i="7" s="1"/>
  <c r="O3" i="7"/>
  <c r="P3" i="7" s="1"/>
  <c r="O13" i="7"/>
  <c r="P13" i="7" s="1"/>
  <c r="V13" i="7"/>
  <c r="W13" i="7" s="1"/>
  <c r="F13" i="7"/>
  <c r="G13" i="7" s="1"/>
  <c r="AA8" i="7"/>
  <c r="AB8" i="7" s="1"/>
  <c r="Z13" i="7"/>
  <c r="AA13" i="7" s="1"/>
  <c r="AE13" i="7"/>
  <c r="AF13" i="7" s="1"/>
  <c r="AI8" i="7"/>
  <c r="AJ8" i="7" s="1"/>
  <c r="AI3" i="7"/>
  <c r="AJ3" i="7" s="1"/>
  <c r="AI13" i="7"/>
  <c r="AJ13" i="7" s="1"/>
  <c r="B3" i="7"/>
  <c r="C3" i="7" s="1"/>
  <c r="B8" i="7"/>
  <c r="C8" i="7" s="1"/>
  <c r="B13" i="7"/>
  <c r="C13" i="7" s="1"/>
  <c r="AG30" i="4"/>
  <c r="L29" i="1"/>
  <c r="J29" i="1"/>
  <c r="AH35" i="4"/>
  <c r="U35" i="4"/>
  <c r="Y35" i="4"/>
  <c r="AD35" i="4"/>
  <c r="AF25" i="4"/>
  <c r="Z30" i="4"/>
  <c r="AA25" i="4"/>
  <c r="G24" i="7"/>
  <c r="U30" i="4"/>
  <c r="V25" i="4"/>
  <c r="U51" i="4"/>
  <c r="U56" i="4"/>
  <c r="V46" i="4"/>
  <c r="Z51" i="4"/>
  <c r="AA46" i="4"/>
  <c r="AF46" i="4"/>
  <c r="AG51" i="4"/>
  <c r="AH56" i="4"/>
  <c r="AD56" i="4"/>
  <c r="Y56" i="4"/>
  <c r="A56" i="4"/>
  <c r="M51" i="4"/>
  <c r="A51" i="4"/>
  <c r="E56" i="4"/>
  <c r="E35" i="4"/>
  <c r="L29" i="6"/>
  <c r="J29" i="6"/>
  <c r="G23" i="7"/>
  <c r="N29" i="5"/>
  <c r="N35" i="4"/>
  <c r="J56" i="4"/>
  <c r="M30" i="4"/>
  <c r="C25" i="7"/>
  <c r="G46" i="4"/>
  <c r="B25" i="4"/>
  <c r="N56" i="4"/>
  <c r="J35" i="4"/>
  <c r="A35" i="4"/>
  <c r="F30" i="4"/>
  <c r="F51" i="4"/>
  <c r="A30" i="4"/>
  <c r="L46" i="4"/>
  <c r="L25" i="4"/>
  <c r="B46" i="4"/>
  <c r="G25" i="4"/>
  <c r="C23" i="7"/>
  <c r="C24" i="7"/>
  <c r="Y20" i="7"/>
  <c r="V4" i="4" s="1" a="1"/>
  <c r="V4" i="4" s="1"/>
  <c r="E20" i="7"/>
  <c r="J29" i="5"/>
  <c r="G22" i="7"/>
  <c r="J29" i="7" s="1"/>
  <c r="C22" i="7"/>
  <c r="G26" i="7" l="1"/>
  <c r="C26" i="7"/>
  <c r="D26" i="7" s="1"/>
  <c r="P29" i="1"/>
  <c r="P29" i="6"/>
  <c r="N29" i="6"/>
  <c r="L29" i="5"/>
  <c r="P29" i="5" s="1"/>
  <c r="G25" i="7"/>
  <c r="B4" i="4" a="1"/>
  <c r="B4" i="4" s="1"/>
  <c r="E14" i="4" a="1"/>
  <c r="E14" i="4" s="1"/>
  <c r="M9" i="4" a="1"/>
  <c r="M9" i="4" s="1"/>
  <c r="A14" i="4" a="1"/>
  <c r="A14" i="4" s="1"/>
  <c r="L4" i="4" a="1"/>
  <c r="L4" i="4" s="1"/>
  <c r="J14" i="4" a="1"/>
  <c r="J14" i="4" s="1"/>
  <c r="N14" i="4" a="1"/>
  <c r="N14" i="4" s="1"/>
  <c r="A9" i="4" a="1"/>
  <c r="A9" i="4" s="1"/>
  <c r="G4" i="4" a="1"/>
  <c r="G4" i="4" s="1"/>
  <c r="F9" i="4" a="1"/>
  <c r="F9" i="4" s="1"/>
  <c r="U9" i="4" a="1"/>
  <c r="U9" i="4" s="1"/>
  <c r="AH14" i="4" a="1"/>
  <c r="AH14" i="4" s="1"/>
  <c r="U14" i="4" a="1"/>
  <c r="U14" i="4" s="1"/>
  <c r="Z9" i="4" a="1"/>
  <c r="Z9" i="4" s="1"/>
  <c r="AF4" i="4" a="1"/>
  <c r="AF4" i="4" s="1"/>
  <c r="AG9" i="4" a="1"/>
  <c r="AG9" i="4" s="1"/>
  <c r="AA4" i="4" a="1"/>
  <c r="AA4" i="4" s="1"/>
  <c r="Y14" i="4" a="1"/>
  <c r="Y14" i="4" s="1"/>
  <c r="AD14" i="4" a="1"/>
  <c r="AD14" i="4" s="1"/>
  <c r="N29" i="7" l="1"/>
  <c r="H26" i="7"/>
  <c r="L29" i="7"/>
  <c r="P29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<sst xmlns="http://schemas.openxmlformats.org/spreadsheetml/2006/main" count="6017" uniqueCount="145">
  <si>
    <t>P</t>
  </si>
  <si>
    <t>T</t>
  </si>
  <si>
    <t>U</t>
  </si>
  <si>
    <t>M</t>
  </si>
  <si>
    <t>OFF Avslut</t>
  </si>
  <si>
    <t>DEF Avslut</t>
  </si>
  <si>
    <t>Avslut OFF</t>
  </si>
  <si>
    <t>⫻</t>
  </si>
  <si>
    <t>Avslut Deff</t>
  </si>
  <si>
    <t>På</t>
  </si>
  <si>
    <t>Täck</t>
  </si>
  <si>
    <t>Utanför</t>
  </si>
  <si>
    <t>Mål</t>
  </si>
  <si>
    <t>Kontring</t>
  </si>
  <si>
    <t>Uppspel</t>
  </si>
  <si>
    <t>√</t>
  </si>
  <si>
    <t>×</t>
  </si>
  <si>
    <t>Långa √×</t>
  </si>
  <si>
    <t>Korta √×</t>
  </si>
  <si>
    <t>MV Aktioner √×</t>
  </si>
  <si>
    <t>Kort ⇡</t>
  </si>
  <si>
    <t>Lång  ⇡</t>
  </si>
  <si>
    <t>Ktrl ⇠⇣⇢</t>
  </si>
  <si>
    <t xml:space="preserve">Skott </t>
  </si>
  <si>
    <t>Räddingar</t>
  </si>
  <si>
    <t>insläppt</t>
  </si>
  <si>
    <t>%</t>
  </si>
  <si>
    <t xml:space="preserve"> √</t>
  </si>
  <si>
    <t>Högpress</t>
  </si>
  <si>
    <t>Initiativ</t>
  </si>
  <si>
    <t>ZON där avslut tas</t>
  </si>
  <si>
    <t>Tot skottförsök</t>
  </si>
  <si>
    <t>OFF</t>
  </si>
  <si>
    <t>DEF</t>
  </si>
  <si>
    <t>Effektivitet skott PÅ i Zon</t>
  </si>
  <si>
    <t>Effektivitet RÄDDNINGAR i Zon</t>
  </si>
  <si>
    <t>Effektivitet Mål / PÅ i Zon</t>
  </si>
  <si>
    <t>Effektivitet Mål / Skottförsök i zon</t>
  </si>
  <si>
    <t>Avslut</t>
  </si>
  <si>
    <t>Täck def</t>
  </si>
  <si>
    <t>Hjelm</t>
  </si>
  <si>
    <t>effekt%PÅ</t>
  </si>
  <si>
    <t>effekt%mål</t>
  </si>
  <si>
    <t>#3</t>
  </si>
  <si>
    <t>#2</t>
  </si>
  <si>
    <t>#4</t>
  </si>
  <si>
    <t>#5</t>
  </si>
  <si>
    <t>#6</t>
  </si>
  <si>
    <t>#7</t>
  </si>
  <si>
    <t>#9</t>
  </si>
  <si>
    <t>#19</t>
  </si>
  <si>
    <t>#22</t>
  </si>
  <si>
    <t>#23</t>
  </si>
  <si>
    <t>#25</t>
  </si>
  <si>
    <t>x</t>
  </si>
  <si>
    <t>#27</t>
  </si>
  <si>
    <t>#97</t>
  </si>
  <si>
    <t>Stopp</t>
  </si>
  <si>
    <t>#24</t>
  </si>
  <si>
    <t>Chippen</t>
  </si>
  <si>
    <t>Bollinnehav</t>
  </si>
  <si>
    <t>Motstånd</t>
  </si>
  <si>
    <t>tid</t>
  </si>
  <si>
    <t>Motståndare</t>
  </si>
  <si>
    <t>#10</t>
  </si>
  <si>
    <t>#12</t>
  </si>
  <si>
    <t>#96</t>
  </si>
  <si>
    <t>#??</t>
  </si>
  <si>
    <t>Boll erövring</t>
  </si>
  <si>
    <t>Off duell</t>
  </si>
  <si>
    <t>regel med</t>
  </si>
  <si>
    <t>deff</t>
  </si>
  <si>
    <t>boll förlust</t>
  </si>
  <si>
    <t>Tekning</t>
  </si>
  <si>
    <t>MÅL</t>
  </si>
  <si>
    <t>xg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</si>
  <si>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</si>
  <si>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</si>
  <si>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</si>
  <si>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</si>
  <si>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</si>
  <si>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</si>
  <si>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</si>
  <si>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</si>
  <si>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</si>
  <si>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</si>
  <si>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</si>
  <si>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</si>
  <si>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position</t>
  </si>
  <si>
    <t>bakom vänster</t>
  </si>
  <si>
    <t>bakom höger</t>
  </si>
  <si>
    <t>vid mål vänster</t>
  </si>
  <si>
    <t>vid mål centralt</t>
  </si>
  <si>
    <t>vid mål höger</t>
  </si>
  <si>
    <t>mitten vänster</t>
  </si>
  <si>
    <t>mitten centralt</t>
  </si>
  <si>
    <t>mitten höger</t>
  </si>
  <si>
    <t>bakplan ytterzon vänster</t>
  </si>
  <si>
    <t>bakplan centralzon vänster</t>
  </si>
  <si>
    <t>bakplan centralzon höger</t>
  </si>
  <si>
    <t>bakplan ytterzon höger</t>
  </si>
  <si>
    <t>pass</t>
  </si>
  <si>
    <t>avslut</t>
  </si>
  <si>
    <t>#PASS</t>
  </si>
  <si>
    <t>#Avslutare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</si>
  <si>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</si>
  <si>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</si>
  <si>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</si>
  <si>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</si>
  <si>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</si>
  <si>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</si>
  <si>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</si>
  <si>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</si>
  <si>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</si>
  <si>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</si>
  <si>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z2</t>
  </si>
  <si>
    <t>p2</t>
  </si>
  <si>
    <t>p3</t>
  </si>
  <si>
    <t>Z1!</t>
  </si>
  <si>
    <t>Z2!</t>
  </si>
  <si>
    <t>Z3!</t>
  </si>
  <si>
    <t>Z4!</t>
  </si>
  <si>
    <t>Z5!</t>
  </si>
  <si>
    <t>Z6!</t>
  </si>
  <si>
    <t>Z7!</t>
  </si>
  <si>
    <t>Z8!</t>
  </si>
  <si>
    <t>Z9!</t>
  </si>
  <si>
    <t>Z10!</t>
  </si>
  <si>
    <t>Z11!</t>
  </si>
  <si>
    <t>Z12!</t>
  </si>
  <si>
    <t>Visa</t>
  </si>
  <si>
    <t>True</t>
  </si>
  <si>
    <t>#28</t>
  </si>
  <si>
    <t>#x</t>
  </si>
  <si>
    <t>#17</t>
  </si>
  <si>
    <t>#20</t>
  </si>
  <si>
    <t>#21</t>
  </si>
  <si>
    <t>#39</t>
  </si>
  <si>
    <t>#40</t>
  </si>
  <si>
    <t>#41</t>
  </si>
  <si>
    <t>#52</t>
  </si>
  <si>
    <t>#43</t>
  </si>
  <si>
    <t>återerövring</t>
  </si>
  <si>
    <t>Väsby</t>
  </si>
  <si>
    <t>väsby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</si>
</sst>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 (Brödtext)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2"/>
      <color rgb="FF7F7F7F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ashDot">
        <color indexed="64"/>
      </right>
      <top style="thin">
        <color indexed="64"/>
      </top>
      <bottom/>
      <diagonal/>
    </border>
    <border>
      <left/>
      <right style="dashDot">
        <color indexed="64"/>
      </right>
      <top/>
      <bottom/>
      <diagonal/>
    </border>
    <border>
      <left/>
      <right style="dashDot">
        <color indexed="64"/>
      </right>
      <top/>
      <bottom style="thin">
        <color indexed="64"/>
      </bottom>
      <diagonal/>
    </border>
    <border>
      <left/>
      <right style="dashDot">
        <color indexed="64"/>
      </right>
      <top style="medium">
        <color indexed="64"/>
      </top>
      <bottom/>
      <diagonal/>
    </border>
    <border>
      <left/>
      <right style="dashDot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 style="dashDot">
        <color indexed="64"/>
      </left>
      <right/>
      <top/>
      <bottom/>
      <diagonal/>
    </border>
    <border>
      <left style="dashDot">
        <color indexed="64"/>
      </left>
      <right/>
      <top style="thin">
        <color indexed="64"/>
      </top>
      <bottom/>
      <diagonal/>
    </border>
    <border>
      <left style="dashDot">
        <color indexed="64"/>
      </left>
      <right/>
      <top/>
      <bottom style="thin">
        <color indexed="64"/>
      </bottom>
      <diagonal/>
    </border>
    <border>
      <left style="dashDot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/>
      <right style="thin">
        <color indexed="64"/>
      </right>
      <top/>
      <bottom style="dashDot">
        <color indexed="64"/>
      </bottom>
      <diagonal/>
    </border>
    <border>
      <left style="thin">
        <color indexed="64"/>
      </left>
      <right/>
      <top/>
      <bottom style="dashDot">
        <color indexed="64"/>
      </bottom>
      <diagonal/>
    </border>
    <border>
      <left/>
      <right style="dashDot">
        <color indexed="64"/>
      </right>
      <top/>
      <bottom style="dashDot">
        <color indexed="64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9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1" fillId="0" borderId="0" xfId="0" applyFont="1"/>
    <xf numFmtId="0" fontId="0" fillId="0" borderId="27" xfId="0" applyBorder="1"/>
    <xf numFmtId="0" fontId="1" fillId="0" borderId="9" xfId="0" applyFont="1" applyBorder="1"/>
    <xf numFmtId="0" fontId="0" fillId="0" borderId="28" xfId="0" applyBorder="1"/>
    <xf numFmtId="0" fontId="1" fillId="0" borderId="27" xfId="0" applyFont="1" applyBorder="1"/>
    <xf numFmtId="0" fontId="1" fillId="0" borderId="17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14" xfId="0" applyBorder="1" applyAlignment="1">
      <alignment wrapText="1"/>
    </xf>
    <xf numFmtId="10" fontId="0" fillId="0" borderId="0" xfId="0" applyNumberFormat="1"/>
    <xf numFmtId="0" fontId="5" fillId="0" borderId="0" xfId="0" applyFont="1"/>
    <xf numFmtId="0" fontId="6" fillId="0" borderId="0" xfId="0" applyFont="1"/>
    <xf numFmtId="0" fontId="6" fillId="0" borderId="18" xfId="0" applyFont="1" applyBorder="1"/>
    <xf numFmtId="0" fontId="6" fillId="0" borderId="20" xfId="0" applyFont="1" applyBorder="1"/>
    <xf numFmtId="0" fontId="6" fillId="0" borderId="2" xfId="0" applyFont="1" applyBorder="1"/>
    <xf numFmtId="0" fontId="6" fillId="0" borderId="7" xfId="0" applyFont="1" applyBorder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1" fillId="0" borderId="20" xfId="0" applyFont="1" applyBorder="1"/>
    <xf numFmtId="0" fontId="11" fillId="0" borderId="2" xfId="0" applyFont="1" applyBorder="1"/>
    <xf numFmtId="0" fontId="11" fillId="0" borderId="7" xfId="0" applyFont="1" applyBorder="1"/>
    <xf numFmtId="0" fontId="11" fillId="0" borderId="18" xfId="0" applyFont="1" applyBorder="1"/>
    <xf numFmtId="0" fontId="6" fillId="0" borderId="10" xfId="0" applyFont="1" applyBorder="1"/>
    <xf numFmtId="0" fontId="6" fillId="0" borderId="29" xfId="0" applyFont="1" applyBorder="1"/>
    <xf numFmtId="0" fontId="6" fillId="0" borderId="11" xfId="0" applyFont="1" applyBorder="1"/>
    <xf numFmtId="0" fontId="6" fillId="0" borderId="14" xfId="0" applyFont="1" applyBorder="1"/>
    <xf numFmtId="0" fontId="6" fillId="0" borderId="30" xfId="0" applyFont="1" applyBorder="1"/>
    <xf numFmtId="0" fontId="6" fillId="0" borderId="32" xfId="0" applyFont="1" applyBorder="1"/>
    <xf numFmtId="0" fontId="6" fillId="0" borderId="15" xfId="0" applyFont="1" applyBorder="1"/>
    <xf numFmtId="0" fontId="6" fillId="0" borderId="31" xfId="0" applyFont="1" applyBorder="1"/>
    <xf numFmtId="0" fontId="6" fillId="0" borderId="33" xfId="0" applyFont="1" applyBorder="1"/>
    <xf numFmtId="0" fontId="6" fillId="0" borderId="12" xfId="0" applyFont="1" applyBorder="1"/>
    <xf numFmtId="0" fontId="6" fillId="0" borderId="13" xfId="0" applyFont="1" applyBorder="1"/>
    <xf numFmtId="0" fontId="11" fillId="0" borderId="14" xfId="0" applyFont="1" applyBorder="1"/>
    <xf numFmtId="0" fontId="11" fillId="0" borderId="30" xfId="0" applyFont="1" applyBorder="1"/>
    <xf numFmtId="0" fontId="11" fillId="0" borderId="29" xfId="0" applyFont="1" applyBorder="1"/>
    <xf numFmtId="0" fontId="11" fillId="0" borderId="11" xfId="0" applyFont="1" applyBorder="1"/>
    <xf numFmtId="0" fontId="11" fillId="0" borderId="10" xfId="0" applyFont="1" applyBorder="1"/>
    <xf numFmtId="0" fontId="11" fillId="0" borderId="32" xfId="0" applyFont="1" applyBorder="1"/>
    <xf numFmtId="0" fontId="11" fillId="0" borderId="15" xfId="0" applyFont="1" applyBorder="1"/>
    <xf numFmtId="0" fontId="11" fillId="0" borderId="31" xfId="0" applyFont="1" applyBorder="1"/>
    <xf numFmtId="0" fontId="11" fillId="0" borderId="33" xfId="0" applyFont="1" applyBorder="1"/>
    <xf numFmtId="0" fontId="11" fillId="0" borderId="12" xfId="0" applyFont="1" applyBorder="1"/>
    <xf numFmtId="0" fontId="11" fillId="0" borderId="13" xfId="0" applyFont="1" applyBorder="1"/>
    <xf numFmtId="0" fontId="12" fillId="0" borderId="0" xfId="0" applyFont="1" applyAlignment="1">
      <alignment vertical="center"/>
    </xf>
    <xf numFmtId="0" fontId="6" fillId="0" borderId="35" xfId="0" applyFont="1" applyBorder="1"/>
    <xf numFmtId="0" fontId="6" fillId="0" borderId="36" xfId="0" applyFont="1" applyBorder="1"/>
    <xf numFmtId="0" fontId="6" fillId="0" borderId="37" xfId="0" applyFont="1" applyBorder="1"/>
    <xf numFmtId="0" fontId="6" fillId="0" borderId="38" xfId="0" applyFont="1" applyBorder="1"/>
    <xf numFmtId="0" fontId="6" fillId="0" borderId="39" xfId="0" applyFont="1" applyBorder="1"/>
    <xf numFmtId="0" fontId="6" fillId="0" borderId="40" xfId="0" applyFont="1" applyBorder="1"/>
    <xf numFmtId="0" fontId="6" fillId="0" borderId="41" xfId="0" applyFont="1" applyBorder="1"/>
    <xf numFmtId="0" fontId="6" fillId="0" borderId="42" xfId="0" applyFont="1" applyBorder="1"/>
    <xf numFmtId="0" fontId="11" fillId="0" borderId="36" xfId="0" applyFont="1" applyBorder="1"/>
    <xf numFmtId="0" fontId="11" fillId="0" borderId="35" xfId="0" applyFont="1" applyBorder="1"/>
    <xf numFmtId="0" fontId="11" fillId="0" borderId="37" xfId="0" applyFont="1" applyBorder="1"/>
    <xf numFmtId="2" fontId="0" fillId="0" borderId="17" xfId="0" applyNumberFormat="1" applyBorder="1"/>
    <xf numFmtId="0" fontId="1" fillId="0" borderId="27" xfId="0" applyFont="1" applyBorder="1" applyAlignment="1">
      <alignment horizontal="center"/>
    </xf>
    <xf numFmtId="0" fontId="10" fillId="0" borderId="0" xfId="0" applyFont="1" applyAlignment="1">
      <alignment wrapText="1"/>
    </xf>
    <xf numFmtId="0" fontId="10" fillId="0" borderId="0" xfId="0" applyFont="1" applyAlignment="1">
      <alignment horizontal="center"/>
    </xf>
    <xf numFmtId="0" fontId="10" fillId="0" borderId="14" xfId="0" applyFont="1" applyBorder="1"/>
    <xf numFmtId="0" fontId="1" fillId="0" borderId="9" xfId="0" applyFont="1" applyBorder="1" applyAlignment="1">
      <alignment horizontal="center"/>
    </xf>
    <xf numFmtId="164" fontId="13" fillId="0" borderId="19" xfId="0" applyNumberFormat="1" applyFont="1" applyBorder="1"/>
    <xf numFmtId="0" fontId="14" fillId="0" borderId="20" xfId="0" applyFont="1" applyBorder="1"/>
    <xf numFmtId="164" fontId="13" fillId="0" borderId="20" xfId="0" applyNumberFormat="1" applyFont="1" applyBorder="1"/>
    <xf numFmtId="0" fontId="14" fillId="0" borderId="23" xfId="0" applyFont="1" applyBorder="1"/>
    <xf numFmtId="0" fontId="15" fillId="0" borderId="0" xfId="0" applyFont="1"/>
    <xf numFmtId="0" fontId="14" fillId="0" borderId="28" xfId="0" applyFont="1" applyBorder="1"/>
    <xf numFmtId="0" fontId="16" fillId="0" borderId="0" xfId="0" applyFont="1"/>
    <xf numFmtId="0" fontId="18" fillId="0" borderId="0" xfId="0" applyFont="1"/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0" fontId="0" fillId="0" borderId="10" xfId="0" applyNumberFormat="1" applyBorder="1" applyAlignment="1">
      <alignment horizontal="center" vertical="center"/>
    </xf>
    <xf numFmtId="10" fontId="0" fillId="0" borderId="20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10" fontId="0" fillId="0" borderId="18" xfId="0" applyNumberFormat="1" applyBorder="1" applyAlignment="1">
      <alignment horizontal="center" vertical="center"/>
    </xf>
    <xf numFmtId="10" fontId="0" fillId="0" borderId="11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14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10" fontId="4" fillId="0" borderId="14" xfId="0" applyNumberFormat="1" applyFont="1" applyBorder="1" applyAlignment="1">
      <alignment horizontal="center"/>
    </xf>
    <xf numFmtId="10" fontId="4" fillId="0" borderId="0" xfId="0" applyNumberFormat="1" applyFont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3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5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10" fontId="0" fillId="0" borderId="15" xfId="0" applyNumberFormat="1" applyBorder="1" applyAlignment="1">
      <alignment horizontal="center" vertical="center"/>
    </xf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304800</xdr:colOff>
      <xdr:row>1</xdr:row>
      <xdr:rowOff>169736</xdr:rowOff>
    </xdr:from>
    <xdr:to>
      <xdr:col>7</xdr:col>
      <xdr:colOff>143192</xdr:colOff>
      <xdr:row>11</xdr:row>
      <xdr:rowOff>185612</xdr:rowOff>
    </xdr:to>
    <xdr:cxnSp macro="">
      <xdr:nvCxnSpPr>
        <xdr:cNvPr id="2" name="Rak 1">
          <a:extLst>
            <a:ext uri="{FF2B5EF4-FFF2-40B4-BE49-F238E27FC236}">
              <a16:creationId xmlns:a16="http://schemas.microsoft.com/office/drawing/2014/main" id="{D65A9474-294B-0949-AA75-9B5E8C860510}"/>
            </a:ext>
          </a:extLst>
        </xdr:cNvPr>
        <xdr:cNvCxnSpPr>
          <a:cxnSpLocks/>
        </xdr:cNvCxnSpPr>
      </xdr:nvCxnSpPr>
      <xdr:spPr>
        <a:xfrm flipH="1">
          <a:off x="939800" y="396239"/>
          <a:ext cx="1425892" cy="20447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193040</xdr:colOff>
      <xdr:row>2</xdr:row>
      <xdr:rowOff>0</xdr:rowOff>
    </xdr:from>
    <xdr:to>
      <xdr:col>13</xdr:col>
      <xdr:colOff>10160</xdr:colOff>
      <xdr:row>11</xdr:row>
      <xdr:rowOff>182880</xdr:rowOff>
    </xdr:to>
    <xdr:cxnSp macro="">
      <xdr:nvCxnSpPr>
        <xdr:cNvPr id="3" name="Rak 2">
          <a:extLst>
            <a:ext uri="{FF2B5EF4-FFF2-40B4-BE49-F238E27FC236}">
              <a16:creationId xmlns:a16="http://schemas.microsoft.com/office/drawing/2014/main" id="{26C0B34C-2163-C149-B818-BC7BFE938AA2}"/>
            </a:ext>
          </a:extLst>
        </xdr:cNvPr>
        <xdr:cNvCxnSpPr>
          <a:cxnSpLocks/>
        </xdr:cNvCxnSpPr>
      </xdr:nvCxnSpPr>
      <xdr:spPr>
        <a:xfrm flipH="1" flipV="1">
          <a:off x="2733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203200</xdr:colOff>
      <xdr:row>0</xdr:row>
      <xdr:rowOff>182880</xdr:rowOff>
    </xdr:from>
    <xdr:to>
      <xdr:col>10</xdr:col>
      <xdr:colOff>121920</xdr:colOff>
      <xdr:row>6</xdr:row>
      <xdr:rowOff>175452</xdr:rowOff>
    </xdr:to>
    <xdr:sp macro="" textlink="">
      <xdr:nvSpPr>
        <xdr:cNvPr id="4" name="Rektangel 3">
          <a:extLst>
            <a:ext uri="{FF2B5EF4-FFF2-40B4-BE49-F238E27FC236}">
              <a16:creationId xmlns:a16="http://schemas.microsoft.com/office/drawing/2014/main" id="{4E33172F-16B5-B248-B249-F7315BAE241E}"/>
            </a:ext>
          </a:extLst>
        </xdr:cNvPr>
        <xdr:cNvSpPr/>
      </xdr:nvSpPr>
      <xdr:spPr>
        <a:xfrm>
          <a:off x="1790700" y="182880"/>
          <a:ext cx="1506220" cy="1231900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5" name="Rak 4">
          <a:extLst>
            <a:ext uri="{FF2B5EF4-FFF2-40B4-BE49-F238E27FC236}">
              <a16:creationId xmlns:a16="http://schemas.microsoft.com/office/drawing/2014/main" id="{402AF12F-6F36-AD42-8BA8-32FD743F36CF}"/>
            </a:ext>
          </a:extLst>
        </xdr:cNvPr>
        <xdr:cNvCxnSpPr>
          <a:cxnSpLocks/>
        </xdr:cNvCxnSpPr>
      </xdr:nvCxnSpPr>
      <xdr:spPr>
        <a:xfrm flipH="1" flipV="1">
          <a:off x="9591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6" name="Rak 5">
          <a:extLst>
            <a:ext uri="{FF2B5EF4-FFF2-40B4-BE49-F238E27FC236}">
              <a16:creationId xmlns:a16="http://schemas.microsoft.com/office/drawing/2014/main" id="{AC77FDEB-499F-2148-A784-7F98DA98D9A5}"/>
            </a:ext>
          </a:extLst>
        </xdr:cNvPr>
        <xdr:cNvCxnSpPr>
          <a:cxnSpLocks/>
        </xdr:cNvCxnSpPr>
      </xdr:nvCxnSpPr>
      <xdr:spPr>
        <a:xfrm flipH="1" flipV="1">
          <a:off x="9591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6772</xdr:colOff>
      <xdr:row>2</xdr:row>
      <xdr:rowOff>16933</xdr:rowOff>
    </xdr:from>
    <xdr:to>
      <xdr:col>27</xdr:col>
      <xdr:colOff>145626</xdr:colOff>
      <xdr:row>11</xdr:row>
      <xdr:rowOff>199813</xdr:rowOff>
    </xdr:to>
    <xdr:cxnSp macro="">
      <xdr:nvCxnSpPr>
        <xdr:cNvPr id="7" name="Rak 6">
          <a:extLst>
            <a:ext uri="{FF2B5EF4-FFF2-40B4-BE49-F238E27FC236}">
              <a16:creationId xmlns:a16="http://schemas.microsoft.com/office/drawing/2014/main" id="{BEF7E540-E27B-C449-A136-51BC34B7C097}"/>
            </a:ext>
          </a:extLst>
        </xdr:cNvPr>
        <xdr:cNvCxnSpPr>
          <a:cxnSpLocks/>
        </xdr:cNvCxnSpPr>
      </xdr:nvCxnSpPr>
      <xdr:spPr>
        <a:xfrm flipH="1">
          <a:off x="7817272" y="423333"/>
          <a:ext cx="1408854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25</xdr:col>
      <xdr:colOff>203200</xdr:colOff>
      <xdr:row>0</xdr:row>
      <xdr:rowOff>198073</xdr:rowOff>
    </xdr:from>
    <xdr:to>
      <xdr:col>30</xdr:col>
      <xdr:colOff>121919</xdr:colOff>
      <xdr:row>6</xdr:row>
      <xdr:rowOff>190646</xdr:rowOff>
    </xdr:to>
    <xdr:sp macro="" textlink="">
      <xdr:nvSpPr>
        <xdr:cNvPr id="8" name="Rektangel 7">
          <a:extLst>
            <a:ext uri="{FF2B5EF4-FFF2-40B4-BE49-F238E27FC236}">
              <a16:creationId xmlns:a16="http://schemas.microsoft.com/office/drawing/2014/main" id="{EEE7AB5A-ED0A-2B40-BACB-C42DD8A1EE86}"/>
            </a:ext>
          </a:extLst>
        </xdr:cNvPr>
        <xdr:cNvSpPr/>
      </xdr:nvSpPr>
      <xdr:spPr>
        <a:xfrm>
          <a:off x="8648700" y="203200"/>
          <a:ext cx="1506219" cy="1231900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8</xdr:col>
      <xdr:colOff>193040</xdr:colOff>
      <xdr:row>2</xdr:row>
      <xdr:rowOff>0</xdr:rowOff>
    </xdr:from>
    <xdr:to>
      <xdr:col>13</xdr:col>
      <xdr:colOff>10161</xdr:colOff>
      <xdr:row>11</xdr:row>
      <xdr:rowOff>182880</xdr:rowOff>
    </xdr:to>
    <xdr:cxnSp macro="">
      <xdr:nvCxnSpPr>
        <xdr:cNvPr id="9" name="Rak 8">
          <a:extLst>
            <a:ext uri="{FF2B5EF4-FFF2-40B4-BE49-F238E27FC236}">
              <a16:creationId xmlns:a16="http://schemas.microsoft.com/office/drawing/2014/main" id="{F58E60F1-603C-C04B-8BE1-2AC666E85B86}"/>
            </a:ext>
          </a:extLst>
        </xdr:cNvPr>
        <xdr:cNvCxnSpPr>
          <a:cxnSpLocks/>
        </xdr:cNvCxnSpPr>
      </xdr:nvCxnSpPr>
      <xdr:spPr>
        <a:xfrm flipH="1" flipV="1">
          <a:off x="2733040" y="406400"/>
          <a:ext cx="1404621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304800</xdr:colOff>
      <xdr:row>1</xdr:row>
      <xdr:rowOff>169736</xdr:rowOff>
    </xdr:from>
    <xdr:to>
      <xdr:col>7</xdr:col>
      <xdr:colOff>143192</xdr:colOff>
      <xdr:row>11</xdr:row>
      <xdr:rowOff>169737</xdr:rowOff>
    </xdr:to>
    <xdr:cxnSp macro="">
      <xdr:nvCxnSpPr>
        <xdr:cNvPr id="13" name="Rak 12">
          <a:extLst>
            <a:ext uri="{FF2B5EF4-FFF2-40B4-BE49-F238E27FC236}">
              <a16:creationId xmlns:a16="http://schemas.microsoft.com/office/drawing/2014/main" id="{74C08270-CA9E-2440-BB2B-07B46AD5D96A}"/>
            </a:ext>
          </a:extLst>
        </xdr:cNvPr>
        <xdr:cNvCxnSpPr>
          <a:cxnSpLocks/>
        </xdr:cNvCxnSpPr>
      </xdr:nvCxnSpPr>
      <xdr:spPr>
        <a:xfrm flipH="1">
          <a:off x="934720" y="396239"/>
          <a:ext cx="1413192" cy="204216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193040</xdr:colOff>
      <xdr:row>2</xdr:row>
      <xdr:rowOff>0</xdr:rowOff>
    </xdr:from>
    <xdr:to>
      <xdr:col>13</xdr:col>
      <xdr:colOff>10160</xdr:colOff>
      <xdr:row>11</xdr:row>
      <xdr:rowOff>182880</xdr:rowOff>
    </xdr:to>
    <xdr:cxnSp macro="">
      <xdr:nvCxnSpPr>
        <xdr:cNvPr id="26" name="Rak 25">
          <a:extLst>
            <a:ext uri="{FF2B5EF4-FFF2-40B4-BE49-F238E27FC236}">
              <a16:creationId xmlns:a16="http://schemas.microsoft.com/office/drawing/2014/main" id="{12B55CC2-6324-9C4B-8EC9-4DB4963667E8}"/>
            </a:ext>
          </a:extLst>
        </xdr:cNvPr>
        <xdr:cNvCxnSpPr>
          <a:cxnSpLocks/>
        </xdr:cNvCxnSpPr>
      </xdr:nvCxnSpPr>
      <xdr:spPr>
        <a:xfrm flipH="1" flipV="1">
          <a:off x="2712720" y="406400"/>
          <a:ext cx="1391920" cy="20116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203200</xdr:colOff>
      <xdr:row>1</xdr:row>
      <xdr:rowOff>51500</xdr:rowOff>
    </xdr:from>
    <xdr:to>
      <xdr:col>10</xdr:col>
      <xdr:colOff>121920</xdr:colOff>
      <xdr:row>7</xdr:row>
      <xdr:rowOff>42795</xdr:rowOff>
    </xdr:to>
    <xdr:sp macro="" textlink="">
      <xdr:nvSpPr>
        <xdr:cNvPr id="30" name="Rektangel 29">
          <a:extLst>
            <a:ext uri="{FF2B5EF4-FFF2-40B4-BE49-F238E27FC236}">
              <a16:creationId xmlns:a16="http://schemas.microsoft.com/office/drawing/2014/main" id="{AB158127-8376-714E-8373-8CE6FC35983E}"/>
            </a:ext>
          </a:extLst>
        </xdr:cNvPr>
        <xdr:cNvSpPr/>
      </xdr:nvSpPr>
      <xdr:spPr>
        <a:xfrm>
          <a:off x="1808947" y="270466"/>
          <a:ext cx="1524467" cy="1232099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/>
            <a:t>0</a:t>
          </a:r>
        </a:p>
      </xdr:txBody>
    </xdr: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33" name="Rak 32">
          <a:extLst>
            <a:ext uri="{FF2B5EF4-FFF2-40B4-BE49-F238E27FC236}">
              <a16:creationId xmlns:a16="http://schemas.microsoft.com/office/drawing/2014/main" id="{9F44B9FA-D68A-F242-B432-C5D338BCF643}"/>
            </a:ext>
          </a:extLst>
        </xdr:cNvPr>
        <xdr:cNvCxnSpPr>
          <a:cxnSpLocks/>
        </xdr:cNvCxnSpPr>
      </xdr:nvCxnSpPr>
      <xdr:spPr>
        <a:xfrm flipH="1" flipV="1">
          <a:off x="2777601" y="401053"/>
          <a:ext cx="1432471" cy="199875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34" name="Rak 33">
          <a:extLst>
            <a:ext uri="{FF2B5EF4-FFF2-40B4-BE49-F238E27FC236}">
              <a16:creationId xmlns:a16="http://schemas.microsoft.com/office/drawing/2014/main" id="{4AE308F6-F6A9-CD44-8AAC-F70DC15A61D2}"/>
            </a:ext>
          </a:extLst>
        </xdr:cNvPr>
        <xdr:cNvCxnSpPr>
          <a:cxnSpLocks/>
        </xdr:cNvCxnSpPr>
      </xdr:nvCxnSpPr>
      <xdr:spPr>
        <a:xfrm flipH="1" flipV="1">
          <a:off x="2766907" y="406400"/>
          <a:ext cx="1425786" cy="2028613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6772</xdr:colOff>
      <xdr:row>2</xdr:row>
      <xdr:rowOff>16933</xdr:rowOff>
    </xdr:from>
    <xdr:to>
      <xdr:col>27</xdr:col>
      <xdr:colOff>145626</xdr:colOff>
      <xdr:row>11</xdr:row>
      <xdr:rowOff>199813</xdr:rowOff>
    </xdr:to>
    <xdr:cxnSp macro="">
      <xdr:nvCxnSpPr>
        <xdr:cNvPr id="35" name="Rak 34">
          <a:extLst>
            <a:ext uri="{FF2B5EF4-FFF2-40B4-BE49-F238E27FC236}">
              <a16:creationId xmlns:a16="http://schemas.microsoft.com/office/drawing/2014/main" id="{B83B9BAD-34B6-614F-BDC5-CC683AE93517}"/>
            </a:ext>
          </a:extLst>
        </xdr:cNvPr>
        <xdr:cNvCxnSpPr>
          <a:cxnSpLocks/>
        </xdr:cNvCxnSpPr>
      </xdr:nvCxnSpPr>
      <xdr:spPr>
        <a:xfrm flipH="1">
          <a:off x="7914639" y="423333"/>
          <a:ext cx="1425787" cy="2028613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25</xdr:col>
      <xdr:colOff>203200</xdr:colOff>
      <xdr:row>0</xdr:row>
      <xdr:rowOff>198073</xdr:rowOff>
    </xdr:from>
    <xdr:to>
      <xdr:col>30</xdr:col>
      <xdr:colOff>121919</xdr:colOff>
      <xdr:row>6</xdr:row>
      <xdr:rowOff>174771</xdr:rowOff>
    </xdr:to>
    <xdr:sp macro="" textlink="">
      <xdr:nvSpPr>
        <xdr:cNvPr id="36" name="Rektangel 35">
          <a:extLst>
            <a:ext uri="{FF2B5EF4-FFF2-40B4-BE49-F238E27FC236}">
              <a16:creationId xmlns:a16="http://schemas.microsoft.com/office/drawing/2014/main" id="{552A3415-7915-1A4C-8289-B1C3F275B842}"/>
            </a:ext>
          </a:extLst>
        </xdr:cNvPr>
        <xdr:cNvSpPr/>
      </xdr:nvSpPr>
      <xdr:spPr>
        <a:xfrm>
          <a:off x="8754533" y="203200"/>
          <a:ext cx="1527386" cy="1236133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8</xdr:col>
      <xdr:colOff>193040</xdr:colOff>
      <xdr:row>2</xdr:row>
      <xdr:rowOff>0</xdr:rowOff>
    </xdr:from>
    <xdr:to>
      <xdr:col>13</xdr:col>
      <xdr:colOff>10161</xdr:colOff>
      <xdr:row>11</xdr:row>
      <xdr:rowOff>182880</xdr:rowOff>
    </xdr:to>
    <xdr:cxnSp macro="">
      <xdr:nvCxnSpPr>
        <xdr:cNvPr id="37" name="Rak 36">
          <a:extLst>
            <a:ext uri="{FF2B5EF4-FFF2-40B4-BE49-F238E27FC236}">
              <a16:creationId xmlns:a16="http://schemas.microsoft.com/office/drawing/2014/main" id="{6E2FE026-E4E7-5A47-A52D-471DD8202BC5}"/>
            </a:ext>
          </a:extLst>
        </xdr:cNvPr>
        <xdr:cNvCxnSpPr>
          <a:cxnSpLocks/>
        </xdr:cNvCxnSpPr>
      </xdr:nvCxnSpPr>
      <xdr:spPr>
        <a:xfrm flipH="1" flipV="1">
          <a:off x="2766907" y="406400"/>
          <a:ext cx="1425787" cy="2028613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304800</xdr:colOff>
      <xdr:row>1</xdr:row>
      <xdr:rowOff>169736</xdr:rowOff>
    </xdr:from>
    <xdr:to>
      <xdr:col>7</xdr:col>
      <xdr:colOff>143192</xdr:colOff>
      <xdr:row>11</xdr:row>
      <xdr:rowOff>169737</xdr:rowOff>
    </xdr:to>
    <xdr:cxnSp macro="">
      <xdr:nvCxnSpPr>
        <xdr:cNvPr id="2" name="Rak 1">
          <a:extLst>
            <a:ext uri="{FF2B5EF4-FFF2-40B4-BE49-F238E27FC236}">
              <a16:creationId xmlns:a16="http://schemas.microsoft.com/office/drawing/2014/main" id="{E56F13CF-57E2-4046-A404-C72ED3E0459F}"/>
            </a:ext>
          </a:extLst>
        </xdr:cNvPr>
        <xdr:cNvCxnSpPr>
          <a:cxnSpLocks/>
        </xdr:cNvCxnSpPr>
      </xdr:nvCxnSpPr>
      <xdr:spPr>
        <a:xfrm flipH="1">
          <a:off x="939800" y="396239"/>
          <a:ext cx="1425892" cy="20447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193040</xdr:colOff>
      <xdr:row>2</xdr:row>
      <xdr:rowOff>0</xdr:rowOff>
    </xdr:from>
    <xdr:to>
      <xdr:col>13</xdr:col>
      <xdr:colOff>10160</xdr:colOff>
      <xdr:row>11</xdr:row>
      <xdr:rowOff>182880</xdr:rowOff>
    </xdr:to>
    <xdr:cxnSp macro="">
      <xdr:nvCxnSpPr>
        <xdr:cNvPr id="3" name="Rak 2">
          <a:extLst>
            <a:ext uri="{FF2B5EF4-FFF2-40B4-BE49-F238E27FC236}">
              <a16:creationId xmlns:a16="http://schemas.microsoft.com/office/drawing/2014/main" id="{1D442808-A31C-D74F-BA5E-42C8C64F669E}"/>
            </a:ext>
          </a:extLst>
        </xdr:cNvPr>
        <xdr:cNvCxnSpPr>
          <a:cxnSpLocks/>
        </xdr:cNvCxnSpPr>
      </xdr:nvCxnSpPr>
      <xdr:spPr>
        <a:xfrm flipH="1" flipV="1">
          <a:off x="2733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203200</xdr:colOff>
      <xdr:row>0</xdr:row>
      <xdr:rowOff>182880</xdr:rowOff>
    </xdr:from>
    <xdr:to>
      <xdr:col>10</xdr:col>
      <xdr:colOff>121920</xdr:colOff>
      <xdr:row>6</xdr:row>
      <xdr:rowOff>159577</xdr:rowOff>
    </xdr:to>
    <xdr:sp macro="" textlink="">
      <xdr:nvSpPr>
        <xdr:cNvPr id="4" name="Rektangel 3">
          <a:extLst>
            <a:ext uri="{FF2B5EF4-FFF2-40B4-BE49-F238E27FC236}">
              <a16:creationId xmlns:a16="http://schemas.microsoft.com/office/drawing/2014/main" id="{B834B0A5-9B0F-694D-96C1-9B5B38E2D76D}"/>
            </a:ext>
          </a:extLst>
        </xdr:cNvPr>
        <xdr:cNvSpPr/>
      </xdr:nvSpPr>
      <xdr:spPr>
        <a:xfrm>
          <a:off x="1776136" y="182880"/>
          <a:ext cx="1491656" cy="1211743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/>
            <a:t>1</a:t>
          </a:r>
        </a:p>
      </xdr:txBody>
    </xdr: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5" name="Rak 4">
          <a:extLst>
            <a:ext uri="{FF2B5EF4-FFF2-40B4-BE49-F238E27FC236}">
              <a16:creationId xmlns:a16="http://schemas.microsoft.com/office/drawing/2014/main" id="{5464C3BB-63A4-2B4C-B92E-9DE2BF15B87C}"/>
            </a:ext>
          </a:extLst>
        </xdr:cNvPr>
        <xdr:cNvCxnSpPr>
          <a:cxnSpLocks/>
        </xdr:cNvCxnSpPr>
      </xdr:nvCxnSpPr>
      <xdr:spPr>
        <a:xfrm flipH="1" flipV="1">
          <a:off x="9591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6" name="Rak 5">
          <a:extLst>
            <a:ext uri="{FF2B5EF4-FFF2-40B4-BE49-F238E27FC236}">
              <a16:creationId xmlns:a16="http://schemas.microsoft.com/office/drawing/2014/main" id="{A28F347D-D6FB-B04E-ACA5-5C95AFAA5877}"/>
            </a:ext>
          </a:extLst>
        </xdr:cNvPr>
        <xdr:cNvCxnSpPr>
          <a:cxnSpLocks/>
        </xdr:cNvCxnSpPr>
      </xdr:nvCxnSpPr>
      <xdr:spPr>
        <a:xfrm flipH="1" flipV="1">
          <a:off x="9591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6772</xdr:colOff>
      <xdr:row>2</xdr:row>
      <xdr:rowOff>16933</xdr:rowOff>
    </xdr:from>
    <xdr:to>
      <xdr:col>27</xdr:col>
      <xdr:colOff>145626</xdr:colOff>
      <xdr:row>11</xdr:row>
      <xdr:rowOff>199813</xdr:rowOff>
    </xdr:to>
    <xdr:cxnSp macro="">
      <xdr:nvCxnSpPr>
        <xdr:cNvPr id="7" name="Rak 6">
          <a:extLst>
            <a:ext uri="{FF2B5EF4-FFF2-40B4-BE49-F238E27FC236}">
              <a16:creationId xmlns:a16="http://schemas.microsoft.com/office/drawing/2014/main" id="{7EC65C8C-1CEE-2D4F-B180-5D4AE6FAC895}"/>
            </a:ext>
          </a:extLst>
        </xdr:cNvPr>
        <xdr:cNvCxnSpPr>
          <a:cxnSpLocks/>
        </xdr:cNvCxnSpPr>
      </xdr:nvCxnSpPr>
      <xdr:spPr>
        <a:xfrm flipH="1">
          <a:off x="7817272" y="423333"/>
          <a:ext cx="1408854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25</xdr:col>
      <xdr:colOff>214959</xdr:colOff>
      <xdr:row>1</xdr:row>
      <xdr:rowOff>33443</xdr:rowOff>
    </xdr:from>
    <xdr:to>
      <xdr:col>30</xdr:col>
      <xdr:colOff>133678</xdr:colOff>
      <xdr:row>7</xdr:row>
      <xdr:rowOff>21901</xdr:rowOff>
    </xdr:to>
    <xdr:sp macro="" textlink="">
      <xdr:nvSpPr>
        <xdr:cNvPr id="8" name="Rektangel 7">
          <a:extLst>
            <a:ext uri="{FF2B5EF4-FFF2-40B4-BE49-F238E27FC236}">
              <a16:creationId xmlns:a16="http://schemas.microsoft.com/office/drawing/2014/main" id="{A4E360BF-CA74-0C43-9059-26E6BC022EAF}"/>
            </a:ext>
          </a:extLst>
        </xdr:cNvPr>
        <xdr:cNvSpPr/>
      </xdr:nvSpPr>
      <xdr:spPr>
        <a:xfrm>
          <a:off x="8658107" y="245110"/>
          <a:ext cx="1506219" cy="1199661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8</xdr:col>
      <xdr:colOff>193040</xdr:colOff>
      <xdr:row>2</xdr:row>
      <xdr:rowOff>0</xdr:rowOff>
    </xdr:from>
    <xdr:to>
      <xdr:col>13</xdr:col>
      <xdr:colOff>10161</xdr:colOff>
      <xdr:row>11</xdr:row>
      <xdr:rowOff>182880</xdr:rowOff>
    </xdr:to>
    <xdr:cxnSp macro="">
      <xdr:nvCxnSpPr>
        <xdr:cNvPr id="9" name="Rak 8">
          <a:extLst>
            <a:ext uri="{FF2B5EF4-FFF2-40B4-BE49-F238E27FC236}">
              <a16:creationId xmlns:a16="http://schemas.microsoft.com/office/drawing/2014/main" id="{0B36B448-F668-2740-8F10-C537B42FFF92}"/>
            </a:ext>
          </a:extLst>
        </xdr:cNvPr>
        <xdr:cNvCxnSpPr>
          <a:cxnSpLocks/>
        </xdr:cNvCxnSpPr>
      </xdr:nvCxnSpPr>
      <xdr:spPr>
        <a:xfrm flipH="1" flipV="1">
          <a:off x="2733040" y="406400"/>
          <a:ext cx="1404621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304800</xdr:colOff>
      <xdr:row>1</xdr:row>
      <xdr:rowOff>182367</xdr:rowOff>
    </xdr:from>
    <xdr:to>
      <xdr:col>7</xdr:col>
      <xdr:colOff>143192</xdr:colOff>
      <xdr:row>11</xdr:row>
      <xdr:rowOff>182367</xdr:rowOff>
    </xdr:to>
    <xdr:cxnSp macro="">
      <xdr:nvCxnSpPr>
        <xdr:cNvPr id="2" name="Rak 1">
          <a:extLst>
            <a:ext uri="{FF2B5EF4-FFF2-40B4-BE49-F238E27FC236}">
              <a16:creationId xmlns:a16="http://schemas.microsoft.com/office/drawing/2014/main" id="{622A1FDA-34F2-4741-B87F-6EC2B8B34141}"/>
            </a:ext>
          </a:extLst>
        </xdr:cNvPr>
        <xdr:cNvCxnSpPr>
          <a:cxnSpLocks/>
        </xdr:cNvCxnSpPr>
      </xdr:nvCxnSpPr>
      <xdr:spPr>
        <a:xfrm flipH="1">
          <a:off x="939800" y="398267"/>
          <a:ext cx="1425892" cy="204470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193040</xdr:colOff>
      <xdr:row>2</xdr:row>
      <xdr:rowOff>0</xdr:rowOff>
    </xdr:from>
    <xdr:to>
      <xdr:col>13</xdr:col>
      <xdr:colOff>10160</xdr:colOff>
      <xdr:row>11</xdr:row>
      <xdr:rowOff>182880</xdr:rowOff>
    </xdr:to>
    <xdr:cxnSp macro="">
      <xdr:nvCxnSpPr>
        <xdr:cNvPr id="3" name="Rak 2">
          <a:extLst>
            <a:ext uri="{FF2B5EF4-FFF2-40B4-BE49-F238E27FC236}">
              <a16:creationId xmlns:a16="http://schemas.microsoft.com/office/drawing/2014/main" id="{027B8BEA-63FF-4746-AC88-97F148A9ACF6}"/>
            </a:ext>
          </a:extLst>
        </xdr:cNvPr>
        <xdr:cNvCxnSpPr>
          <a:cxnSpLocks/>
        </xdr:cNvCxnSpPr>
      </xdr:nvCxnSpPr>
      <xdr:spPr>
        <a:xfrm flipH="1" flipV="1">
          <a:off x="2733040" y="4191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192528</xdr:colOff>
      <xdr:row>1</xdr:row>
      <xdr:rowOff>44141</xdr:rowOff>
    </xdr:from>
    <xdr:to>
      <xdr:col>10</xdr:col>
      <xdr:colOff>111248</xdr:colOff>
      <xdr:row>7</xdr:row>
      <xdr:rowOff>44141</xdr:rowOff>
    </xdr:to>
    <xdr:sp macro="" textlink="">
      <xdr:nvSpPr>
        <xdr:cNvPr id="4" name="Rektangel 3">
          <a:extLst>
            <a:ext uri="{FF2B5EF4-FFF2-40B4-BE49-F238E27FC236}">
              <a16:creationId xmlns:a16="http://schemas.microsoft.com/office/drawing/2014/main" id="{65FA4E57-3579-5342-9F88-67AB00384FC4}"/>
            </a:ext>
          </a:extLst>
        </xdr:cNvPr>
        <xdr:cNvSpPr/>
      </xdr:nvSpPr>
      <xdr:spPr>
        <a:xfrm>
          <a:off x="1793368" y="257586"/>
          <a:ext cx="1519561" cy="1227311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5" name="Rak 4">
          <a:extLst>
            <a:ext uri="{FF2B5EF4-FFF2-40B4-BE49-F238E27FC236}">
              <a16:creationId xmlns:a16="http://schemas.microsoft.com/office/drawing/2014/main" id="{FDE9A813-D6AE-2248-9CF6-4B2F83E83CEC}"/>
            </a:ext>
          </a:extLst>
        </xdr:cNvPr>
        <xdr:cNvCxnSpPr>
          <a:cxnSpLocks/>
        </xdr:cNvCxnSpPr>
      </xdr:nvCxnSpPr>
      <xdr:spPr>
        <a:xfrm flipH="1" flipV="1">
          <a:off x="9591040" y="4191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6" name="Rak 5">
          <a:extLst>
            <a:ext uri="{FF2B5EF4-FFF2-40B4-BE49-F238E27FC236}">
              <a16:creationId xmlns:a16="http://schemas.microsoft.com/office/drawing/2014/main" id="{EF66D694-6C13-D145-BB4E-F18D77DCE25C}"/>
            </a:ext>
          </a:extLst>
        </xdr:cNvPr>
        <xdr:cNvCxnSpPr>
          <a:cxnSpLocks/>
        </xdr:cNvCxnSpPr>
      </xdr:nvCxnSpPr>
      <xdr:spPr>
        <a:xfrm flipH="1" flipV="1">
          <a:off x="9591040" y="4191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6772</xdr:colOff>
      <xdr:row>2</xdr:row>
      <xdr:rowOff>16933</xdr:rowOff>
    </xdr:from>
    <xdr:to>
      <xdr:col>27</xdr:col>
      <xdr:colOff>145626</xdr:colOff>
      <xdr:row>11</xdr:row>
      <xdr:rowOff>199813</xdr:rowOff>
    </xdr:to>
    <xdr:cxnSp macro="">
      <xdr:nvCxnSpPr>
        <xdr:cNvPr id="7" name="Rak 6">
          <a:extLst>
            <a:ext uri="{FF2B5EF4-FFF2-40B4-BE49-F238E27FC236}">
              <a16:creationId xmlns:a16="http://schemas.microsoft.com/office/drawing/2014/main" id="{C1EFC27F-9512-5544-A060-601DBC286817}"/>
            </a:ext>
          </a:extLst>
        </xdr:cNvPr>
        <xdr:cNvCxnSpPr>
          <a:cxnSpLocks/>
        </xdr:cNvCxnSpPr>
      </xdr:nvCxnSpPr>
      <xdr:spPr>
        <a:xfrm flipH="1">
          <a:off x="7817272" y="436033"/>
          <a:ext cx="1408854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25</xdr:col>
      <xdr:colOff>215900</xdr:colOff>
      <xdr:row>1</xdr:row>
      <xdr:rowOff>24973</xdr:rowOff>
    </xdr:from>
    <xdr:to>
      <xdr:col>30</xdr:col>
      <xdr:colOff>134619</xdr:colOff>
      <xdr:row>7</xdr:row>
      <xdr:rowOff>27001</xdr:rowOff>
    </xdr:to>
    <xdr:sp macro="" textlink="">
      <xdr:nvSpPr>
        <xdr:cNvPr id="8" name="Rektangel 7">
          <a:extLst>
            <a:ext uri="{FF2B5EF4-FFF2-40B4-BE49-F238E27FC236}">
              <a16:creationId xmlns:a16="http://schemas.microsoft.com/office/drawing/2014/main" id="{3083D84C-0A47-5147-A992-373F4C26A4B4}"/>
            </a:ext>
          </a:extLst>
        </xdr:cNvPr>
        <xdr:cNvSpPr/>
      </xdr:nvSpPr>
      <xdr:spPr>
        <a:xfrm>
          <a:off x="8661400" y="240873"/>
          <a:ext cx="1506219" cy="1233928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/>
            <a:t>11</a:t>
          </a:r>
        </a:p>
      </xdr:txBody>
    </xdr:sp>
    <xdr:clientData/>
  </xdr:twoCellAnchor>
  <xdr:twoCellAnchor>
    <xdr:from>
      <xdr:col>8</xdr:col>
      <xdr:colOff>193040</xdr:colOff>
      <xdr:row>2</xdr:row>
      <xdr:rowOff>0</xdr:rowOff>
    </xdr:from>
    <xdr:to>
      <xdr:col>13</xdr:col>
      <xdr:colOff>10161</xdr:colOff>
      <xdr:row>11</xdr:row>
      <xdr:rowOff>182880</xdr:rowOff>
    </xdr:to>
    <xdr:cxnSp macro="">
      <xdr:nvCxnSpPr>
        <xdr:cNvPr id="9" name="Rak 8">
          <a:extLst>
            <a:ext uri="{FF2B5EF4-FFF2-40B4-BE49-F238E27FC236}">
              <a16:creationId xmlns:a16="http://schemas.microsoft.com/office/drawing/2014/main" id="{71719362-F742-F849-9EA3-7A078346A4AA}"/>
            </a:ext>
          </a:extLst>
        </xdr:cNvPr>
        <xdr:cNvCxnSpPr>
          <a:cxnSpLocks/>
        </xdr:cNvCxnSpPr>
      </xdr:nvCxnSpPr>
      <xdr:spPr>
        <a:xfrm flipH="1" flipV="1">
          <a:off x="2733040" y="419100"/>
          <a:ext cx="1404621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304800</xdr:colOff>
      <xdr:row>1</xdr:row>
      <xdr:rowOff>182367</xdr:rowOff>
    </xdr:from>
    <xdr:to>
      <xdr:col>7</xdr:col>
      <xdr:colOff>143192</xdr:colOff>
      <xdr:row>11</xdr:row>
      <xdr:rowOff>182367</xdr:rowOff>
    </xdr:to>
    <xdr:cxnSp macro="">
      <xdr:nvCxnSpPr>
        <xdr:cNvPr id="2" name="Rak 1">
          <a:extLst>
            <a:ext uri="{FF2B5EF4-FFF2-40B4-BE49-F238E27FC236}">
              <a16:creationId xmlns:a16="http://schemas.microsoft.com/office/drawing/2014/main" id="{7A0ADB96-00A9-EA4F-9336-FEE4742E6E29}"/>
            </a:ext>
          </a:extLst>
        </xdr:cNvPr>
        <xdr:cNvCxnSpPr>
          <a:cxnSpLocks/>
        </xdr:cNvCxnSpPr>
      </xdr:nvCxnSpPr>
      <xdr:spPr>
        <a:xfrm flipH="1">
          <a:off x="939800" y="396239"/>
          <a:ext cx="1425892" cy="20447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193040</xdr:colOff>
      <xdr:row>2</xdr:row>
      <xdr:rowOff>0</xdr:rowOff>
    </xdr:from>
    <xdr:to>
      <xdr:col>13</xdr:col>
      <xdr:colOff>10160</xdr:colOff>
      <xdr:row>11</xdr:row>
      <xdr:rowOff>182880</xdr:rowOff>
    </xdr:to>
    <xdr:cxnSp macro="">
      <xdr:nvCxnSpPr>
        <xdr:cNvPr id="3" name="Rak 2">
          <a:extLst>
            <a:ext uri="{FF2B5EF4-FFF2-40B4-BE49-F238E27FC236}">
              <a16:creationId xmlns:a16="http://schemas.microsoft.com/office/drawing/2014/main" id="{A5B610B1-4CE4-F048-8F38-FF737531E773}"/>
            </a:ext>
          </a:extLst>
        </xdr:cNvPr>
        <xdr:cNvCxnSpPr>
          <a:cxnSpLocks/>
        </xdr:cNvCxnSpPr>
      </xdr:nvCxnSpPr>
      <xdr:spPr>
        <a:xfrm flipH="1" flipV="1">
          <a:off x="2733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203200</xdr:colOff>
      <xdr:row>0</xdr:row>
      <xdr:rowOff>182880</xdr:rowOff>
    </xdr:from>
    <xdr:to>
      <xdr:col>10</xdr:col>
      <xdr:colOff>121920</xdr:colOff>
      <xdr:row>6</xdr:row>
      <xdr:rowOff>172208</xdr:rowOff>
    </xdr:to>
    <xdr:sp macro="" textlink="">
      <xdr:nvSpPr>
        <xdr:cNvPr id="4" name="Rektangel 3">
          <a:extLst>
            <a:ext uri="{FF2B5EF4-FFF2-40B4-BE49-F238E27FC236}">
              <a16:creationId xmlns:a16="http://schemas.microsoft.com/office/drawing/2014/main" id="{43CC0054-A304-F144-A7F2-682FE130BDD7}"/>
            </a:ext>
          </a:extLst>
        </xdr:cNvPr>
        <xdr:cNvSpPr/>
      </xdr:nvSpPr>
      <xdr:spPr>
        <a:xfrm>
          <a:off x="1790700" y="182880"/>
          <a:ext cx="1506220" cy="1231900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5" name="Rak 4">
          <a:extLst>
            <a:ext uri="{FF2B5EF4-FFF2-40B4-BE49-F238E27FC236}">
              <a16:creationId xmlns:a16="http://schemas.microsoft.com/office/drawing/2014/main" id="{806E4EFC-C842-594B-AD47-121B5D1F51BB}"/>
            </a:ext>
          </a:extLst>
        </xdr:cNvPr>
        <xdr:cNvCxnSpPr>
          <a:cxnSpLocks/>
        </xdr:cNvCxnSpPr>
      </xdr:nvCxnSpPr>
      <xdr:spPr>
        <a:xfrm flipH="1" flipV="1">
          <a:off x="9591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6" name="Rak 5">
          <a:extLst>
            <a:ext uri="{FF2B5EF4-FFF2-40B4-BE49-F238E27FC236}">
              <a16:creationId xmlns:a16="http://schemas.microsoft.com/office/drawing/2014/main" id="{AF4B154F-4133-1449-ABA7-B4696D862463}"/>
            </a:ext>
          </a:extLst>
        </xdr:cNvPr>
        <xdr:cNvCxnSpPr>
          <a:cxnSpLocks/>
        </xdr:cNvCxnSpPr>
      </xdr:nvCxnSpPr>
      <xdr:spPr>
        <a:xfrm flipH="1" flipV="1">
          <a:off x="9591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6772</xdr:colOff>
      <xdr:row>2</xdr:row>
      <xdr:rowOff>16933</xdr:rowOff>
    </xdr:from>
    <xdr:to>
      <xdr:col>27</xdr:col>
      <xdr:colOff>145626</xdr:colOff>
      <xdr:row>11</xdr:row>
      <xdr:rowOff>199813</xdr:rowOff>
    </xdr:to>
    <xdr:cxnSp macro="">
      <xdr:nvCxnSpPr>
        <xdr:cNvPr id="7" name="Rak 6">
          <a:extLst>
            <a:ext uri="{FF2B5EF4-FFF2-40B4-BE49-F238E27FC236}">
              <a16:creationId xmlns:a16="http://schemas.microsoft.com/office/drawing/2014/main" id="{F854B990-1E8F-0C4B-80A9-B3DB2B06B99D}"/>
            </a:ext>
          </a:extLst>
        </xdr:cNvPr>
        <xdr:cNvCxnSpPr>
          <a:cxnSpLocks/>
        </xdr:cNvCxnSpPr>
      </xdr:nvCxnSpPr>
      <xdr:spPr>
        <a:xfrm flipH="1">
          <a:off x="7817272" y="423333"/>
          <a:ext cx="1408854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26</xdr:col>
      <xdr:colOff>203200</xdr:colOff>
      <xdr:row>0</xdr:row>
      <xdr:rowOff>202773</xdr:rowOff>
    </xdr:from>
    <xdr:to>
      <xdr:col>31</xdr:col>
      <xdr:colOff>121919</xdr:colOff>
      <xdr:row>6</xdr:row>
      <xdr:rowOff>192101</xdr:rowOff>
    </xdr:to>
    <xdr:sp macro="" textlink="">
      <xdr:nvSpPr>
        <xdr:cNvPr id="8" name="Rektangel 7">
          <a:extLst>
            <a:ext uri="{FF2B5EF4-FFF2-40B4-BE49-F238E27FC236}">
              <a16:creationId xmlns:a16="http://schemas.microsoft.com/office/drawing/2014/main" id="{A52D65A5-201B-3143-B418-5D8E9F6E56B0}"/>
            </a:ext>
          </a:extLst>
        </xdr:cNvPr>
        <xdr:cNvSpPr/>
      </xdr:nvSpPr>
      <xdr:spPr>
        <a:xfrm>
          <a:off x="8648700" y="203200"/>
          <a:ext cx="1506219" cy="1231900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sv-SE" sz="1100"/>
            <a:t>1</a:t>
          </a:r>
        </a:p>
      </xdr:txBody>
    </xdr:sp>
    <xdr:clientData/>
  </xdr:twoCellAnchor>
  <xdr:twoCellAnchor>
    <xdr:from>
      <xdr:col>8</xdr:col>
      <xdr:colOff>193040</xdr:colOff>
      <xdr:row>2</xdr:row>
      <xdr:rowOff>0</xdr:rowOff>
    </xdr:from>
    <xdr:to>
      <xdr:col>13</xdr:col>
      <xdr:colOff>10161</xdr:colOff>
      <xdr:row>11</xdr:row>
      <xdr:rowOff>182880</xdr:rowOff>
    </xdr:to>
    <xdr:cxnSp macro="">
      <xdr:nvCxnSpPr>
        <xdr:cNvPr id="9" name="Rak 8">
          <a:extLst>
            <a:ext uri="{FF2B5EF4-FFF2-40B4-BE49-F238E27FC236}">
              <a16:creationId xmlns:a16="http://schemas.microsoft.com/office/drawing/2014/main" id="{3D273B25-FFC6-254C-97EC-5F56D58ACCB4}"/>
            </a:ext>
          </a:extLst>
        </xdr:cNvPr>
        <xdr:cNvCxnSpPr>
          <a:cxnSpLocks/>
        </xdr:cNvCxnSpPr>
      </xdr:nvCxnSpPr>
      <xdr:spPr>
        <a:xfrm flipH="1" flipV="1">
          <a:off x="2733040" y="406400"/>
          <a:ext cx="1404621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193040</xdr:colOff>
      <xdr:row>2</xdr:row>
      <xdr:rowOff>0</xdr:rowOff>
    </xdr:from>
    <xdr:to>
      <xdr:col>13</xdr:col>
      <xdr:colOff>10160</xdr:colOff>
      <xdr:row>11</xdr:row>
      <xdr:rowOff>182880</xdr:rowOff>
    </xdr:to>
    <xdr:cxnSp macro="">
      <xdr:nvCxnSpPr>
        <xdr:cNvPr id="2" name="Rak 1">
          <a:extLst>
            <a:ext uri="{FF2B5EF4-FFF2-40B4-BE49-F238E27FC236}">
              <a16:creationId xmlns:a16="http://schemas.microsoft.com/office/drawing/2014/main" id="{D68C33C6-2C05-F148-8621-1D98AFFA41E5}"/>
            </a:ext>
          </a:extLst>
        </xdr:cNvPr>
        <xdr:cNvCxnSpPr>
          <a:cxnSpLocks/>
        </xdr:cNvCxnSpPr>
      </xdr:nvCxnSpPr>
      <xdr:spPr>
        <a:xfrm flipH="1" flipV="1">
          <a:off x="2733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3" name="Rak 2">
          <a:extLst>
            <a:ext uri="{FF2B5EF4-FFF2-40B4-BE49-F238E27FC236}">
              <a16:creationId xmlns:a16="http://schemas.microsoft.com/office/drawing/2014/main" id="{45A25B95-39C5-6F43-9235-A82F235F3211}"/>
            </a:ext>
          </a:extLst>
        </xdr:cNvPr>
        <xdr:cNvCxnSpPr>
          <a:cxnSpLocks/>
        </xdr:cNvCxnSpPr>
      </xdr:nvCxnSpPr>
      <xdr:spPr>
        <a:xfrm flipH="1" flipV="1">
          <a:off x="9591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193040</xdr:colOff>
      <xdr:row>2</xdr:row>
      <xdr:rowOff>0</xdr:rowOff>
    </xdr:from>
    <xdr:to>
      <xdr:col>33</xdr:col>
      <xdr:colOff>10160</xdr:colOff>
      <xdr:row>11</xdr:row>
      <xdr:rowOff>182880</xdr:rowOff>
    </xdr:to>
    <xdr:cxnSp macro="">
      <xdr:nvCxnSpPr>
        <xdr:cNvPr id="4" name="Rak 3">
          <a:extLst>
            <a:ext uri="{FF2B5EF4-FFF2-40B4-BE49-F238E27FC236}">
              <a16:creationId xmlns:a16="http://schemas.microsoft.com/office/drawing/2014/main" id="{C6F7327C-7A45-AD40-8B95-50DDD5418032}"/>
            </a:ext>
          </a:extLst>
        </xdr:cNvPr>
        <xdr:cNvCxnSpPr>
          <a:cxnSpLocks/>
        </xdr:cNvCxnSpPr>
      </xdr:nvCxnSpPr>
      <xdr:spPr>
        <a:xfrm flipH="1" flipV="1">
          <a:off x="9591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6772</xdr:colOff>
      <xdr:row>2</xdr:row>
      <xdr:rowOff>16933</xdr:rowOff>
    </xdr:from>
    <xdr:to>
      <xdr:col>27</xdr:col>
      <xdr:colOff>145626</xdr:colOff>
      <xdr:row>11</xdr:row>
      <xdr:rowOff>199813</xdr:rowOff>
    </xdr:to>
    <xdr:cxnSp macro="">
      <xdr:nvCxnSpPr>
        <xdr:cNvPr id="5" name="Rak 4">
          <a:extLst>
            <a:ext uri="{FF2B5EF4-FFF2-40B4-BE49-F238E27FC236}">
              <a16:creationId xmlns:a16="http://schemas.microsoft.com/office/drawing/2014/main" id="{4AD433A0-6625-E247-B0B6-CD3E905C097D}"/>
            </a:ext>
          </a:extLst>
        </xdr:cNvPr>
        <xdr:cNvCxnSpPr>
          <a:cxnSpLocks/>
        </xdr:cNvCxnSpPr>
      </xdr:nvCxnSpPr>
      <xdr:spPr>
        <a:xfrm flipH="1">
          <a:off x="7817272" y="423333"/>
          <a:ext cx="1408854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193040</xdr:colOff>
      <xdr:row>2</xdr:row>
      <xdr:rowOff>0</xdr:rowOff>
    </xdr:from>
    <xdr:to>
      <xdr:col>13</xdr:col>
      <xdr:colOff>10161</xdr:colOff>
      <xdr:row>11</xdr:row>
      <xdr:rowOff>182880</xdr:rowOff>
    </xdr:to>
    <xdr:cxnSp macro="">
      <xdr:nvCxnSpPr>
        <xdr:cNvPr id="6" name="Rak 5">
          <a:extLst>
            <a:ext uri="{FF2B5EF4-FFF2-40B4-BE49-F238E27FC236}">
              <a16:creationId xmlns:a16="http://schemas.microsoft.com/office/drawing/2014/main" id="{64FA8ED0-9C90-894C-9F9D-B54BC629DC83}"/>
            </a:ext>
          </a:extLst>
        </xdr:cNvPr>
        <xdr:cNvCxnSpPr>
          <a:cxnSpLocks/>
        </xdr:cNvCxnSpPr>
      </xdr:nvCxnSpPr>
      <xdr:spPr>
        <a:xfrm flipH="1" flipV="1">
          <a:off x="2733040" y="406400"/>
          <a:ext cx="1404621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2</xdr:row>
      <xdr:rowOff>12700</xdr:rowOff>
    </xdr:from>
    <xdr:to>
      <xdr:col>7</xdr:col>
      <xdr:colOff>126154</xdr:colOff>
      <xdr:row>11</xdr:row>
      <xdr:rowOff>195580</xdr:rowOff>
    </xdr:to>
    <xdr:cxnSp macro="">
      <xdr:nvCxnSpPr>
        <xdr:cNvPr id="7" name="Rak 6">
          <a:extLst>
            <a:ext uri="{FF2B5EF4-FFF2-40B4-BE49-F238E27FC236}">
              <a16:creationId xmlns:a16="http://schemas.microsoft.com/office/drawing/2014/main" id="{5049BD0D-1987-F743-9ABD-DC49DBE65E6C}"/>
            </a:ext>
          </a:extLst>
        </xdr:cNvPr>
        <xdr:cNvCxnSpPr>
          <a:cxnSpLocks/>
        </xdr:cNvCxnSpPr>
      </xdr:nvCxnSpPr>
      <xdr:spPr>
        <a:xfrm flipH="1">
          <a:off x="939800" y="419100"/>
          <a:ext cx="1408854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203200</xdr:colOff>
      <xdr:row>1</xdr:row>
      <xdr:rowOff>25400</xdr:rowOff>
    </xdr:from>
    <xdr:to>
      <xdr:col>10</xdr:col>
      <xdr:colOff>107356</xdr:colOff>
      <xdr:row>7</xdr:row>
      <xdr:rowOff>5243</xdr:rowOff>
    </xdr:to>
    <xdr:sp macro="" textlink="">
      <xdr:nvSpPr>
        <xdr:cNvPr id="8" name="Rektangel 7">
          <a:extLst>
            <a:ext uri="{FF2B5EF4-FFF2-40B4-BE49-F238E27FC236}">
              <a16:creationId xmlns:a16="http://schemas.microsoft.com/office/drawing/2014/main" id="{A89CF683-221D-0E46-A23A-44C8079EB6C0}"/>
            </a:ext>
          </a:extLst>
        </xdr:cNvPr>
        <xdr:cNvSpPr/>
      </xdr:nvSpPr>
      <xdr:spPr>
        <a:xfrm>
          <a:off x="1790700" y="228600"/>
          <a:ext cx="1491656" cy="1211743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 editAs="absolute">
    <xdr:from>
      <xdr:col>25</xdr:col>
      <xdr:colOff>203200</xdr:colOff>
      <xdr:row>1</xdr:row>
      <xdr:rowOff>12700</xdr:rowOff>
    </xdr:from>
    <xdr:to>
      <xdr:col>30</xdr:col>
      <xdr:colOff>107356</xdr:colOff>
      <xdr:row>6</xdr:row>
      <xdr:rowOff>195743</xdr:rowOff>
    </xdr:to>
    <xdr:sp macro="" textlink="">
      <xdr:nvSpPr>
        <xdr:cNvPr id="9" name="Rektangel 8">
          <a:extLst>
            <a:ext uri="{FF2B5EF4-FFF2-40B4-BE49-F238E27FC236}">
              <a16:creationId xmlns:a16="http://schemas.microsoft.com/office/drawing/2014/main" id="{1ED6C87D-2D73-5544-ACED-48AB86578FF8}"/>
            </a:ext>
          </a:extLst>
        </xdr:cNvPr>
        <xdr:cNvSpPr/>
      </xdr:nvSpPr>
      <xdr:spPr>
        <a:xfrm>
          <a:off x="8140700" y="215900"/>
          <a:ext cx="1491656" cy="1211743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8</xdr:col>
      <xdr:colOff>193040</xdr:colOff>
      <xdr:row>23</xdr:row>
      <xdr:rowOff>0</xdr:rowOff>
    </xdr:from>
    <xdr:to>
      <xdr:col>13</xdr:col>
      <xdr:colOff>10160</xdr:colOff>
      <xdr:row>32</xdr:row>
      <xdr:rowOff>182880</xdr:rowOff>
    </xdr:to>
    <xdr:cxnSp macro="">
      <xdr:nvCxnSpPr>
        <xdr:cNvPr id="10" name="Rak 9">
          <a:extLst>
            <a:ext uri="{FF2B5EF4-FFF2-40B4-BE49-F238E27FC236}">
              <a16:creationId xmlns:a16="http://schemas.microsoft.com/office/drawing/2014/main" id="{BCBA74DA-14AB-F44C-BEDE-C5D87A6B28F4}"/>
            </a:ext>
          </a:extLst>
        </xdr:cNvPr>
        <xdr:cNvCxnSpPr>
          <a:cxnSpLocks/>
        </xdr:cNvCxnSpPr>
      </xdr:nvCxnSpPr>
      <xdr:spPr>
        <a:xfrm flipH="1" flipV="1">
          <a:off x="2733040" y="4064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193040</xdr:colOff>
      <xdr:row>23</xdr:row>
      <xdr:rowOff>0</xdr:rowOff>
    </xdr:from>
    <xdr:to>
      <xdr:col>13</xdr:col>
      <xdr:colOff>10161</xdr:colOff>
      <xdr:row>32</xdr:row>
      <xdr:rowOff>182880</xdr:rowOff>
    </xdr:to>
    <xdr:cxnSp macro="">
      <xdr:nvCxnSpPr>
        <xdr:cNvPr id="11" name="Rak 10">
          <a:extLst>
            <a:ext uri="{FF2B5EF4-FFF2-40B4-BE49-F238E27FC236}">
              <a16:creationId xmlns:a16="http://schemas.microsoft.com/office/drawing/2014/main" id="{F368AFD3-0A35-3C40-96B5-838826660220}"/>
            </a:ext>
          </a:extLst>
        </xdr:cNvPr>
        <xdr:cNvCxnSpPr>
          <a:cxnSpLocks/>
        </xdr:cNvCxnSpPr>
      </xdr:nvCxnSpPr>
      <xdr:spPr>
        <a:xfrm flipH="1" flipV="1">
          <a:off x="2733040" y="406400"/>
          <a:ext cx="1404621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23</xdr:row>
      <xdr:rowOff>12700</xdr:rowOff>
    </xdr:from>
    <xdr:to>
      <xdr:col>7</xdr:col>
      <xdr:colOff>126154</xdr:colOff>
      <xdr:row>32</xdr:row>
      <xdr:rowOff>195580</xdr:rowOff>
    </xdr:to>
    <xdr:cxnSp macro="">
      <xdr:nvCxnSpPr>
        <xdr:cNvPr id="12" name="Rak 11">
          <a:extLst>
            <a:ext uri="{FF2B5EF4-FFF2-40B4-BE49-F238E27FC236}">
              <a16:creationId xmlns:a16="http://schemas.microsoft.com/office/drawing/2014/main" id="{4695D184-20BF-114D-8CBB-D377D2C3116F}"/>
            </a:ext>
          </a:extLst>
        </xdr:cNvPr>
        <xdr:cNvCxnSpPr>
          <a:cxnSpLocks/>
        </xdr:cNvCxnSpPr>
      </xdr:nvCxnSpPr>
      <xdr:spPr>
        <a:xfrm flipH="1">
          <a:off x="939800" y="419100"/>
          <a:ext cx="1408854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215900</xdr:colOff>
      <xdr:row>22</xdr:row>
      <xdr:rowOff>0</xdr:rowOff>
    </xdr:from>
    <xdr:to>
      <xdr:col>10</xdr:col>
      <xdr:colOff>120056</xdr:colOff>
      <xdr:row>27</xdr:row>
      <xdr:rowOff>183043</xdr:rowOff>
    </xdr:to>
    <xdr:sp macro="" textlink="">
      <xdr:nvSpPr>
        <xdr:cNvPr id="13" name="Rektangel 12">
          <a:extLst>
            <a:ext uri="{FF2B5EF4-FFF2-40B4-BE49-F238E27FC236}">
              <a16:creationId xmlns:a16="http://schemas.microsoft.com/office/drawing/2014/main" id="{54CF5700-64E6-3140-9F3F-B5CB6B1396A7}"/>
            </a:ext>
          </a:extLst>
        </xdr:cNvPr>
        <xdr:cNvSpPr/>
      </xdr:nvSpPr>
      <xdr:spPr>
        <a:xfrm>
          <a:off x="1803400" y="4508500"/>
          <a:ext cx="1491656" cy="1211743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28</xdr:col>
      <xdr:colOff>193040</xdr:colOff>
      <xdr:row>23</xdr:row>
      <xdr:rowOff>0</xdr:rowOff>
    </xdr:from>
    <xdr:to>
      <xdr:col>33</xdr:col>
      <xdr:colOff>10160</xdr:colOff>
      <xdr:row>32</xdr:row>
      <xdr:rowOff>182880</xdr:rowOff>
    </xdr:to>
    <xdr:cxnSp macro="">
      <xdr:nvCxnSpPr>
        <xdr:cNvPr id="14" name="Rak 13">
          <a:extLst>
            <a:ext uri="{FF2B5EF4-FFF2-40B4-BE49-F238E27FC236}">
              <a16:creationId xmlns:a16="http://schemas.microsoft.com/office/drawing/2014/main" id="{A62D780F-01F6-1142-A98F-3829532E55E4}"/>
            </a:ext>
          </a:extLst>
        </xdr:cNvPr>
        <xdr:cNvCxnSpPr>
          <a:cxnSpLocks/>
        </xdr:cNvCxnSpPr>
      </xdr:nvCxnSpPr>
      <xdr:spPr>
        <a:xfrm flipH="1" flipV="1">
          <a:off x="2733040" y="47117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193040</xdr:colOff>
      <xdr:row>23</xdr:row>
      <xdr:rowOff>0</xdr:rowOff>
    </xdr:from>
    <xdr:to>
      <xdr:col>33</xdr:col>
      <xdr:colOff>10161</xdr:colOff>
      <xdr:row>32</xdr:row>
      <xdr:rowOff>182880</xdr:rowOff>
    </xdr:to>
    <xdr:cxnSp macro="">
      <xdr:nvCxnSpPr>
        <xdr:cNvPr id="15" name="Rak 14">
          <a:extLst>
            <a:ext uri="{FF2B5EF4-FFF2-40B4-BE49-F238E27FC236}">
              <a16:creationId xmlns:a16="http://schemas.microsoft.com/office/drawing/2014/main" id="{8EC0378C-E05C-0244-B477-40B1D3E11456}"/>
            </a:ext>
          </a:extLst>
        </xdr:cNvPr>
        <xdr:cNvCxnSpPr>
          <a:cxnSpLocks/>
        </xdr:cNvCxnSpPr>
      </xdr:nvCxnSpPr>
      <xdr:spPr>
        <a:xfrm flipH="1" flipV="1">
          <a:off x="2733040" y="4711700"/>
          <a:ext cx="1404621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304800</xdr:colOff>
      <xdr:row>23</xdr:row>
      <xdr:rowOff>12700</xdr:rowOff>
    </xdr:from>
    <xdr:to>
      <xdr:col>27</xdr:col>
      <xdr:colOff>126154</xdr:colOff>
      <xdr:row>32</xdr:row>
      <xdr:rowOff>195580</xdr:rowOff>
    </xdr:to>
    <xdr:cxnSp macro="">
      <xdr:nvCxnSpPr>
        <xdr:cNvPr id="16" name="Rak 15">
          <a:extLst>
            <a:ext uri="{FF2B5EF4-FFF2-40B4-BE49-F238E27FC236}">
              <a16:creationId xmlns:a16="http://schemas.microsoft.com/office/drawing/2014/main" id="{9E226335-2405-0144-9587-72A0E50B2DCE}"/>
            </a:ext>
          </a:extLst>
        </xdr:cNvPr>
        <xdr:cNvCxnSpPr>
          <a:cxnSpLocks/>
        </xdr:cNvCxnSpPr>
      </xdr:nvCxnSpPr>
      <xdr:spPr>
        <a:xfrm flipH="1">
          <a:off x="939800" y="4724400"/>
          <a:ext cx="1408854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25</xdr:col>
      <xdr:colOff>203200</xdr:colOff>
      <xdr:row>22</xdr:row>
      <xdr:rowOff>25400</xdr:rowOff>
    </xdr:from>
    <xdr:to>
      <xdr:col>30</xdr:col>
      <xdr:colOff>107356</xdr:colOff>
      <xdr:row>28</xdr:row>
      <xdr:rowOff>5243</xdr:rowOff>
    </xdr:to>
    <xdr:sp macro="" textlink="">
      <xdr:nvSpPr>
        <xdr:cNvPr id="17" name="Rektangel 16">
          <a:extLst>
            <a:ext uri="{FF2B5EF4-FFF2-40B4-BE49-F238E27FC236}">
              <a16:creationId xmlns:a16="http://schemas.microsoft.com/office/drawing/2014/main" id="{7935DA5A-0862-CB43-BCAB-3516D507A1B5}"/>
            </a:ext>
          </a:extLst>
        </xdr:cNvPr>
        <xdr:cNvSpPr/>
      </xdr:nvSpPr>
      <xdr:spPr>
        <a:xfrm>
          <a:off x="8140700" y="4533900"/>
          <a:ext cx="1491656" cy="1211743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8</xdr:col>
      <xdr:colOff>193040</xdr:colOff>
      <xdr:row>44</xdr:row>
      <xdr:rowOff>0</xdr:rowOff>
    </xdr:from>
    <xdr:to>
      <xdr:col>13</xdr:col>
      <xdr:colOff>10160</xdr:colOff>
      <xdr:row>53</xdr:row>
      <xdr:rowOff>182880</xdr:rowOff>
    </xdr:to>
    <xdr:cxnSp macro="">
      <xdr:nvCxnSpPr>
        <xdr:cNvPr id="18" name="Rak 17">
          <a:extLst>
            <a:ext uri="{FF2B5EF4-FFF2-40B4-BE49-F238E27FC236}">
              <a16:creationId xmlns:a16="http://schemas.microsoft.com/office/drawing/2014/main" id="{DFCA8D86-709E-514D-90A1-AF5C7DB4D780}"/>
            </a:ext>
          </a:extLst>
        </xdr:cNvPr>
        <xdr:cNvCxnSpPr>
          <a:cxnSpLocks/>
        </xdr:cNvCxnSpPr>
      </xdr:nvCxnSpPr>
      <xdr:spPr>
        <a:xfrm flipH="1" flipV="1">
          <a:off x="2733040" y="4711700"/>
          <a:ext cx="1404620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193040</xdr:colOff>
      <xdr:row>44</xdr:row>
      <xdr:rowOff>0</xdr:rowOff>
    </xdr:from>
    <xdr:to>
      <xdr:col>13</xdr:col>
      <xdr:colOff>10161</xdr:colOff>
      <xdr:row>53</xdr:row>
      <xdr:rowOff>182880</xdr:rowOff>
    </xdr:to>
    <xdr:cxnSp macro="">
      <xdr:nvCxnSpPr>
        <xdr:cNvPr id="19" name="Rak 18">
          <a:extLst>
            <a:ext uri="{FF2B5EF4-FFF2-40B4-BE49-F238E27FC236}">
              <a16:creationId xmlns:a16="http://schemas.microsoft.com/office/drawing/2014/main" id="{0E37D519-0D5B-804D-A076-87D081F757A2}"/>
            </a:ext>
          </a:extLst>
        </xdr:cNvPr>
        <xdr:cNvCxnSpPr>
          <a:cxnSpLocks/>
        </xdr:cNvCxnSpPr>
      </xdr:nvCxnSpPr>
      <xdr:spPr>
        <a:xfrm flipH="1" flipV="1">
          <a:off x="2733040" y="4711700"/>
          <a:ext cx="1404621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44</xdr:row>
      <xdr:rowOff>12700</xdr:rowOff>
    </xdr:from>
    <xdr:to>
      <xdr:col>7</xdr:col>
      <xdr:colOff>126154</xdr:colOff>
      <xdr:row>53</xdr:row>
      <xdr:rowOff>195580</xdr:rowOff>
    </xdr:to>
    <xdr:cxnSp macro="">
      <xdr:nvCxnSpPr>
        <xdr:cNvPr id="20" name="Rak 19">
          <a:extLst>
            <a:ext uri="{FF2B5EF4-FFF2-40B4-BE49-F238E27FC236}">
              <a16:creationId xmlns:a16="http://schemas.microsoft.com/office/drawing/2014/main" id="{F12DD474-FB41-C640-9C71-F032125CADBC}"/>
            </a:ext>
          </a:extLst>
        </xdr:cNvPr>
        <xdr:cNvCxnSpPr>
          <a:cxnSpLocks/>
        </xdr:cNvCxnSpPr>
      </xdr:nvCxnSpPr>
      <xdr:spPr>
        <a:xfrm flipH="1">
          <a:off x="939800" y="4724400"/>
          <a:ext cx="1408854" cy="20243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203200</xdr:colOff>
      <xdr:row>43</xdr:row>
      <xdr:rowOff>0</xdr:rowOff>
    </xdr:from>
    <xdr:to>
      <xdr:col>10</xdr:col>
      <xdr:colOff>107356</xdr:colOff>
      <xdr:row>48</xdr:row>
      <xdr:rowOff>183043</xdr:rowOff>
    </xdr:to>
    <xdr:sp macro="" textlink="">
      <xdr:nvSpPr>
        <xdr:cNvPr id="21" name="Rektangel 20">
          <a:extLst>
            <a:ext uri="{FF2B5EF4-FFF2-40B4-BE49-F238E27FC236}">
              <a16:creationId xmlns:a16="http://schemas.microsoft.com/office/drawing/2014/main" id="{8E2DA734-E306-8542-A08D-FF0F54472604}"/>
            </a:ext>
          </a:extLst>
        </xdr:cNvPr>
        <xdr:cNvSpPr/>
      </xdr:nvSpPr>
      <xdr:spPr>
        <a:xfrm>
          <a:off x="1790700" y="8813800"/>
          <a:ext cx="1491656" cy="1211743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  <xdr:twoCellAnchor>
    <xdr:from>
      <xdr:col>28</xdr:col>
      <xdr:colOff>193040</xdr:colOff>
      <xdr:row>44</xdr:row>
      <xdr:rowOff>0</xdr:rowOff>
    </xdr:from>
    <xdr:to>
      <xdr:col>33</xdr:col>
      <xdr:colOff>10160</xdr:colOff>
      <xdr:row>53</xdr:row>
      <xdr:rowOff>182880</xdr:rowOff>
    </xdr:to>
    <xdr:cxnSp macro="">
      <xdr:nvCxnSpPr>
        <xdr:cNvPr id="25" name="Rak 24">
          <a:extLst>
            <a:ext uri="{FF2B5EF4-FFF2-40B4-BE49-F238E27FC236}">
              <a16:creationId xmlns:a16="http://schemas.microsoft.com/office/drawing/2014/main" id="{9151666B-F654-4E44-B030-6ACA00198767}"/>
            </a:ext>
          </a:extLst>
        </xdr:cNvPr>
        <xdr:cNvCxnSpPr>
          <a:cxnSpLocks/>
        </xdr:cNvCxnSpPr>
      </xdr:nvCxnSpPr>
      <xdr:spPr>
        <a:xfrm flipH="1" flipV="1">
          <a:off x="2810010" y="9313333"/>
          <a:ext cx="1452726" cy="20878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193040</xdr:colOff>
      <xdr:row>44</xdr:row>
      <xdr:rowOff>0</xdr:rowOff>
    </xdr:from>
    <xdr:to>
      <xdr:col>33</xdr:col>
      <xdr:colOff>10161</xdr:colOff>
      <xdr:row>53</xdr:row>
      <xdr:rowOff>182880</xdr:rowOff>
    </xdr:to>
    <xdr:cxnSp macro="">
      <xdr:nvCxnSpPr>
        <xdr:cNvPr id="26" name="Rak 25">
          <a:extLst>
            <a:ext uri="{FF2B5EF4-FFF2-40B4-BE49-F238E27FC236}">
              <a16:creationId xmlns:a16="http://schemas.microsoft.com/office/drawing/2014/main" id="{45E3000C-26CE-D54B-883B-7BC715EA98B6}"/>
            </a:ext>
          </a:extLst>
        </xdr:cNvPr>
        <xdr:cNvCxnSpPr>
          <a:cxnSpLocks/>
        </xdr:cNvCxnSpPr>
      </xdr:nvCxnSpPr>
      <xdr:spPr>
        <a:xfrm flipH="1" flipV="1">
          <a:off x="2810010" y="9313333"/>
          <a:ext cx="1452727" cy="20878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304800</xdr:colOff>
      <xdr:row>44</xdr:row>
      <xdr:rowOff>12700</xdr:rowOff>
    </xdr:from>
    <xdr:to>
      <xdr:col>27</xdr:col>
      <xdr:colOff>126154</xdr:colOff>
      <xdr:row>53</xdr:row>
      <xdr:rowOff>195580</xdr:rowOff>
    </xdr:to>
    <xdr:cxnSp macro="">
      <xdr:nvCxnSpPr>
        <xdr:cNvPr id="27" name="Rak 26">
          <a:extLst>
            <a:ext uri="{FF2B5EF4-FFF2-40B4-BE49-F238E27FC236}">
              <a16:creationId xmlns:a16="http://schemas.microsoft.com/office/drawing/2014/main" id="{73F1A245-7F8C-254F-BEBD-E28D087EA00F}"/>
            </a:ext>
          </a:extLst>
        </xdr:cNvPr>
        <xdr:cNvCxnSpPr>
          <a:cxnSpLocks/>
        </xdr:cNvCxnSpPr>
      </xdr:nvCxnSpPr>
      <xdr:spPr>
        <a:xfrm flipH="1">
          <a:off x="959042" y="9326033"/>
          <a:ext cx="1456960" cy="20878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25</xdr:col>
      <xdr:colOff>212821</xdr:colOff>
      <xdr:row>42</xdr:row>
      <xdr:rowOff>193194</xdr:rowOff>
    </xdr:from>
    <xdr:to>
      <xdr:col>30</xdr:col>
      <xdr:colOff>116977</xdr:colOff>
      <xdr:row>48</xdr:row>
      <xdr:rowOff>164570</xdr:rowOff>
    </xdr:to>
    <xdr:sp macro="" textlink="">
      <xdr:nvSpPr>
        <xdr:cNvPr id="28" name="Rektangel 27">
          <a:extLst>
            <a:ext uri="{FF2B5EF4-FFF2-40B4-BE49-F238E27FC236}">
              <a16:creationId xmlns:a16="http://schemas.microsoft.com/office/drawing/2014/main" id="{A2050C07-8526-694C-A834-3E6C2164E77B}"/>
            </a:ext>
          </a:extLst>
        </xdr:cNvPr>
        <xdr:cNvSpPr/>
      </xdr:nvSpPr>
      <xdr:spPr>
        <a:xfrm>
          <a:off x="8390851" y="9083194"/>
          <a:ext cx="1539762" cy="1241376"/>
        </a:xfrm>
        <a:prstGeom prst="rect">
          <a:avLst/>
        </a:prstGeom>
        <a:noFill/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sv-S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82460</xdr:colOff>
      <xdr:row>0</xdr:row>
      <xdr:rowOff>0</xdr:rowOff>
    </xdr:from>
    <xdr:to>
      <xdr:col>10</xdr:col>
      <xdr:colOff>767582</xdr:colOff>
      <xdr:row>20</xdr:row>
      <xdr:rowOff>195385</xdr:rowOff>
    </xdr:to>
    <xdr:pic>
      <xdr:nvPicPr>
        <xdr:cNvPr id="17" name="Bildobjekt 16">
          <a:extLst>
            <a:ext uri="{FF2B5EF4-FFF2-40B4-BE49-F238E27FC236}">
              <a16:creationId xmlns:a16="http://schemas.microsoft.com/office/drawing/2014/main" id="{C05927F9-B488-7FC5-45D7-963E52DAD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5863" y="0"/>
          <a:ext cx="5823820" cy="4250847"/>
        </a:xfrm>
        <a:prstGeom prst="rect">
          <a:avLst/>
        </a:prstGeom>
      </xdr:spPr>
    </xdr:pic>
    <xdr:clientData/>
  </xdr:twoCellAnchor>
  <xdr:twoCellAnchor>
    <xdr:from>
      <xdr:col>6</xdr:col>
      <xdr:colOff>1041400</xdr:colOff>
      <xdr:row>18</xdr:row>
      <xdr:rowOff>137160</xdr:rowOff>
    </xdr:from>
    <xdr:to>
      <xdr:col>9</xdr:col>
      <xdr:colOff>91440</xdr:colOff>
      <xdr:row>24</xdr:row>
      <xdr:rowOff>30480</xdr:rowOff>
    </xdr:to>
    <xdr:grpSp>
      <xdr:nvGrpSpPr>
        <xdr:cNvPr id="968" name="Grupp 967">
          <a:extLst>
            <a:ext uri="{FF2B5EF4-FFF2-40B4-BE49-F238E27FC236}">
              <a16:creationId xmlns:a16="http://schemas.microsoft.com/office/drawing/2014/main" id="{78A96678-3FB2-E70D-2417-DD3E7864AD19}"/>
            </a:ext>
          </a:extLst>
        </xdr:cNvPr>
        <xdr:cNvGrpSpPr/>
      </xdr:nvGrpSpPr>
      <xdr:grpSpPr>
        <a:xfrm>
          <a:off x="7073900" y="3729446"/>
          <a:ext cx="2288540" cy="1090748"/>
          <a:chOff x="1803400" y="1325880"/>
          <a:chExt cx="2280920" cy="1112520"/>
        </a:xfrm>
      </xdr:grpSpPr>
      <xdr:sp macro="" textlink="">
        <xdr:nvSpPr>
          <xdr:cNvPr id="962" name="legend_box">
            <a:extLst>
              <a:ext uri="{FF2B5EF4-FFF2-40B4-BE49-F238E27FC236}">
                <a16:creationId xmlns:a16="http://schemas.microsoft.com/office/drawing/2014/main" id="{8F04AF42-ABF7-B239-9946-B3AEAE5A45F8}"/>
              </a:ext>
            </a:extLst>
          </xdr:cNvPr>
          <xdr:cNvSpPr/>
        </xdr:nvSpPr>
        <xdr:spPr>
          <a:xfrm>
            <a:off x="1803400" y="1325880"/>
            <a:ext cx="2280920" cy="889000"/>
          </a:xfrm>
          <a:prstGeom prst="rect">
            <a:avLst/>
          </a:prstGeom>
          <a:solidFill>
            <a:srgbClr val="F0F0F0"/>
          </a:solidFill>
          <a:ln>
            <a:solidFill>
              <a:srgbClr val="C8C8C8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963" name="legend_text">
            <a:extLst>
              <a:ext uri="{FF2B5EF4-FFF2-40B4-BE49-F238E27FC236}">
                <a16:creationId xmlns:a16="http://schemas.microsoft.com/office/drawing/2014/main" id="{395D7B7A-83F7-C327-D51C-0C92624F4680}"/>
              </a:ext>
            </a:extLst>
          </xdr:cNvPr>
          <xdr:cNvSpPr txBox="1"/>
        </xdr:nvSpPr>
        <xdr:spPr>
          <a:xfrm>
            <a:off x="1889760" y="1330960"/>
            <a:ext cx="1615440" cy="110744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t"/>
          <a:lstStyle/>
          <a:p>
            <a:r>
              <a:rPr lang="sv-SE" sz="700"/>
              <a:t>Legend:
</a:t>
            </a:r>
          </a:p>
          <a:p>
            <a:r>
              <a:rPr lang="sv-SE" sz="700"/>
              <a:t> Grön etikett = Passare
</a:t>
            </a:r>
          </a:p>
          <a:p>
            <a:r>
              <a:rPr lang="sv-SE" sz="700"/>
              <a:t> Gul etikett = Avslutare
</a:t>
            </a:r>
          </a:p>
          <a:p>
            <a:r>
              <a:rPr lang="sv-SE" sz="700"/>
              <a:t> Mörkgrön pil = Passning</a:t>
            </a:r>
          </a:p>
        </xdr:txBody>
      </xdr:sp>
    </xdr:grpSp>
    <xdr:clientData/>
  </xdr:twoCellAnchor>
  <xdr:twoCellAnchor>
    <xdr:from>
      <xdr:col>6</xdr:col>
      <xdr:colOff>410882</xdr:colOff>
      <xdr:row>9</xdr:row>
      <xdr:rowOff>74707</xdr:rowOff>
    </xdr:from>
    <xdr:to>
      <xdr:col>6</xdr:col>
      <xdr:colOff>598682</xdr:colOff>
      <xdr:row>10</xdr:row>
      <xdr:rowOff>70374</xdr:rowOff>
    </xdr:to>
    <xdr:sp macro="" textlink="">
      <xdr:nvSpPr>
        <xdr:cNvPr id="57" name="textruta 56">
          <a:extLst>
            <a:ext uri="{FF2B5EF4-FFF2-40B4-BE49-F238E27FC236}">
              <a16:creationId xmlns:a16="http://schemas.microsoft.com/office/drawing/2014/main" id="{A368AFF8-E4FA-606D-9BE1-128D3D78A773}"/>
            </a:ext>
          </a:extLst>
        </xdr:cNvPr>
        <xdr:cNvSpPr txBox="1"/>
      </xdr:nvSpPr>
      <xdr:spPr>
        <a:xfrm>
          <a:off x="6451386" y="1899665"/>
          <a:ext cx="187800" cy="198440"/>
        </a:xfrm>
        <a:prstGeom prst="rect">
          <a:avLst/>
        </a:prstGeom>
        <a:solidFill>
          <a:srgbClr val="0099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600">
              <a:solidFill>
                <a:srgbClr val="000000"/>
              </a:solidFill>
            </a:rPr>
            <a:t>8</a:t>
          </a:r>
        </a:p>
      </xdr:txBody>
    </xdr:sp>
    <xdr:clientData/>
  </xdr:twoCellAnchor>
  <xdr:twoCellAnchor>
    <xdr:from>
      <xdr:col>8</xdr:col>
      <xdr:colOff>554001</xdr:colOff>
      <xdr:row>14</xdr:row>
      <xdr:rowOff>52302</xdr:rowOff>
    </xdr:from>
    <xdr:to>
      <xdr:col>8</xdr:col>
      <xdr:colOff>768402</xdr:colOff>
      <xdr:row>15</xdr:row>
      <xdr:rowOff>42689</xdr:rowOff>
    </xdr:to>
    <xdr:sp macro="" textlink="">
      <xdr:nvSpPr>
        <xdr:cNvPr id="58" name="textruta 57">
          <a:extLst>
            <a:ext uri="{FF2B5EF4-FFF2-40B4-BE49-F238E27FC236}">
              <a16:creationId xmlns:a16="http://schemas.microsoft.com/office/drawing/2014/main" id="{4D46DB19-7043-2507-1C27-CC76F4A75D47}"/>
            </a:ext>
          </a:extLst>
        </xdr:cNvPr>
        <xdr:cNvSpPr txBox="1"/>
      </xdr:nvSpPr>
      <xdr:spPr>
        <a:xfrm>
          <a:off x="8750304" y="2891126"/>
          <a:ext cx="214401" cy="193160"/>
        </a:xfrm>
        <a:prstGeom prst="rect">
          <a:avLst/>
        </a:prstGeom>
        <a:solidFill>
          <a:srgbClr val="0099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780">
              <a:solidFill>
                <a:srgbClr val="000000"/>
              </a:solidFill>
            </a:rPr>
            <a:t>8</a:t>
          </a:r>
        </a:p>
      </xdr:txBody>
    </xdr:sp>
    <xdr:clientData/>
  </xdr:twoCellAnchor>
  <xdr:twoCellAnchor>
    <xdr:from>
      <xdr:col>6</xdr:col>
      <xdr:colOff>399259</xdr:colOff>
      <xdr:row>13</xdr:row>
      <xdr:rowOff>98035</xdr:rowOff>
    </xdr:from>
    <xdr:to>
      <xdr:col>6</xdr:col>
      <xdr:colOff>661680</xdr:colOff>
      <xdr:row>14</xdr:row>
      <xdr:rowOff>112058</xdr:rowOff>
    </xdr:to>
    <xdr:sp macro="" textlink="">
      <xdr:nvSpPr>
        <xdr:cNvPr id="59" name="textruta 58">
          <a:extLst>
            <a:ext uri="{FF2B5EF4-FFF2-40B4-BE49-F238E27FC236}">
              <a16:creationId xmlns:a16="http://schemas.microsoft.com/office/drawing/2014/main" id="{EAE1D768-DB5A-0430-0180-156FF2E58443}"/>
            </a:ext>
          </a:extLst>
        </xdr:cNvPr>
        <xdr:cNvSpPr txBox="1"/>
      </xdr:nvSpPr>
      <xdr:spPr>
        <a:xfrm>
          <a:off x="6439763" y="2734085"/>
          <a:ext cx="262421" cy="216797"/>
        </a:xfrm>
        <a:prstGeom prst="rect">
          <a:avLst/>
        </a:prstGeom>
        <a:solidFill>
          <a:srgbClr val="0099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600">
              <a:solidFill>
                <a:srgbClr val="000000"/>
              </a:solidFill>
            </a:rPr>
            <a:t>12</a:t>
          </a:r>
        </a:p>
      </xdr:txBody>
    </xdr:sp>
    <xdr:clientData/>
  </xdr:twoCellAnchor>
  <xdr:twoCellAnchor>
    <xdr:from>
      <xdr:col>5</xdr:col>
      <xdr:colOff>410883</xdr:colOff>
      <xdr:row>13</xdr:row>
      <xdr:rowOff>122731</xdr:rowOff>
    </xdr:from>
    <xdr:to>
      <xdr:col>5</xdr:col>
      <xdr:colOff>683026</xdr:colOff>
      <xdr:row>14</xdr:row>
      <xdr:rowOff>138738</xdr:rowOff>
    </xdr:to>
    <xdr:sp macro="" textlink="">
      <xdr:nvSpPr>
        <xdr:cNvPr id="60" name="textruta 59">
          <a:extLst>
            <a:ext uri="{FF2B5EF4-FFF2-40B4-BE49-F238E27FC236}">
              <a16:creationId xmlns:a16="http://schemas.microsoft.com/office/drawing/2014/main" id="{E2BA5AD4-360F-22A8-4939-A9902C2BC674}"/>
            </a:ext>
          </a:extLst>
        </xdr:cNvPr>
        <xdr:cNvSpPr txBox="1"/>
      </xdr:nvSpPr>
      <xdr:spPr>
        <a:xfrm>
          <a:off x="5624286" y="2758781"/>
          <a:ext cx="272143" cy="218781"/>
        </a:xfrm>
        <a:prstGeom prst="rect">
          <a:avLst/>
        </a:prstGeom>
        <a:solidFill>
          <a:srgbClr val="0099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600">
              <a:solidFill>
                <a:srgbClr val="000000"/>
              </a:solidFill>
            </a:rPr>
            <a:t>14</a:t>
          </a:r>
        </a:p>
      </xdr:txBody>
    </xdr:sp>
    <xdr:clientData/>
  </xdr:twoCellAnchor>
  <xdr:twoCellAnchor>
    <xdr:from>
      <xdr:col>6</xdr:col>
      <xdr:colOff>388587</xdr:colOff>
      <xdr:row>14</xdr:row>
      <xdr:rowOff>103371</xdr:rowOff>
    </xdr:from>
    <xdr:to>
      <xdr:col>6</xdr:col>
      <xdr:colOff>661680</xdr:colOff>
      <xdr:row>15</xdr:row>
      <xdr:rowOff>74706</xdr:rowOff>
    </xdr:to>
    <xdr:sp macro="" textlink="">
      <xdr:nvSpPr>
        <xdr:cNvPr id="61" name="textruta 60">
          <a:extLst>
            <a:ext uri="{FF2B5EF4-FFF2-40B4-BE49-F238E27FC236}">
              <a16:creationId xmlns:a16="http://schemas.microsoft.com/office/drawing/2014/main" id="{EFDFD15C-7826-A8D2-2795-F31A9E951632}"/>
            </a:ext>
          </a:extLst>
        </xdr:cNvPr>
        <xdr:cNvSpPr txBox="1"/>
      </xdr:nvSpPr>
      <xdr:spPr>
        <a:xfrm>
          <a:off x="6429091" y="2942195"/>
          <a:ext cx="273093" cy="174108"/>
        </a:xfrm>
        <a:prstGeom prst="rect">
          <a:avLst/>
        </a:prstGeom>
        <a:solidFill>
          <a:srgbClr val="0099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600">
              <a:solidFill>
                <a:srgbClr val="000000"/>
              </a:solidFill>
            </a:rPr>
            <a:t>14</a:t>
          </a:r>
        </a:p>
      </xdr:txBody>
    </xdr:sp>
    <xdr:clientData/>
  </xdr:twoCellAnchor>
  <xdr:twoCellAnchor>
    <xdr:from>
      <xdr:col>5</xdr:col>
      <xdr:colOff>341630</xdr:colOff>
      <xdr:row>9</xdr:row>
      <xdr:rowOff>85378</xdr:rowOff>
    </xdr:from>
    <xdr:to>
      <xdr:col>5</xdr:col>
      <xdr:colOff>608320</xdr:colOff>
      <xdr:row>10</xdr:row>
      <xdr:rowOff>33020</xdr:rowOff>
    </xdr:to>
    <xdr:sp macro="" textlink="">
      <xdr:nvSpPr>
        <xdr:cNvPr id="62" name="textruta 61">
          <a:extLst>
            <a:ext uri="{FF2B5EF4-FFF2-40B4-BE49-F238E27FC236}">
              <a16:creationId xmlns:a16="http://schemas.microsoft.com/office/drawing/2014/main" id="{C3A1E4FD-7EAD-072A-4AB1-F052D3DB44A1}"/>
            </a:ext>
          </a:extLst>
        </xdr:cNvPr>
        <xdr:cNvSpPr txBox="1"/>
      </xdr:nvSpPr>
      <xdr:spPr>
        <a:xfrm>
          <a:off x="5555033" y="1910336"/>
          <a:ext cx="266690" cy="150415"/>
        </a:xfrm>
        <a:prstGeom prst="rect">
          <a:avLst/>
        </a:prstGeom>
        <a:solidFill>
          <a:srgbClr val="0099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600">
              <a:solidFill>
                <a:srgbClr val="000000"/>
              </a:solidFill>
            </a:rPr>
            <a:t>14</a:t>
          </a:r>
        </a:p>
      </xdr:txBody>
    </xdr:sp>
    <xdr:clientData/>
  </xdr:twoCellAnchor>
  <xdr:twoCellAnchor>
    <xdr:from>
      <xdr:col>8</xdr:col>
      <xdr:colOff>351235</xdr:colOff>
      <xdr:row>14</xdr:row>
      <xdr:rowOff>114043</xdr:rowOff>
    </xdr:from>
    <xdr:to>
      <xdr:col>8</xdr:col>
      <xdr:colOff>618991</xdr:colOff>
      <xdr:row>15</xdr:row>
      <xdr:rowOff>85378</xdr:rowOff>
    </xdr:to>
    <xdr:sp macro="" textlink="">
      <xdr:nvSpPr>
        <xdr:cNvPr id="63" name="textruta 62">
          <a:extLst>
            <a:ext uri="{FF2B5EF4-FFF2-40B4-BE49-F238E27FC236}">
              <a16:creationId xmlns:a16="http://schemas.microsoft.com/office/drawing/2014/main" id="{4A6D7D61-FC2F-1B44-4789-4FE81A3F34A6}"/>
            </a:ext>
          </a:extLst>
        </xdr:cNvPr>
        <xdr:cNvSpPr txBox="1"/>
      </xdr:nvSpPr>
      <xdr:spPr>
        <a:xfrm>
          <a:off x="8547538" y="2952867"/>
          <a:ext cx="267756" cy="174108"/>
        </a:xfrm>
        <a:prstGeom prst="rect">
          <a:avLst/>
        </a:prstGeom>
        <a:solidFill>
          <a:srgbClr val="0099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600">
              <a:solidFill>
                <a:srgbClr val="000000"/>
              </a:solidFill>
            </a:rPr>
            <a:t>25</a:t>
          </a:r>
        </a:p>
      </xdr:txBody>
    </xdr:sp>
    <xdr:clientData/>
  </xdr:twoCellAnchor>
  <xdr:twoCellAnchor>
    <xdr:from>
      <xdr:col>5</xdr:col>
      <xdr:colOff>250915</xdr:colOff>
      <xdr:row>14</xdr:row>
      <xdr:rowOff>66017</xdr:rowOff>
    </xdr:from>
    <xdr:to>
      <xdr:col>5</xdr:col>
      <xdr:colOff>517605</xdr:colOff>
      <xdr:row>15</xdr:row>
      <xdr:rowOff>32015</xdr:rowOff>
    </xdr:to>
    <xdr:sp macro="" textlink="">
      <xdr:nvSpPr>
        <xdr:cNvPr id="1346" name="textruta 1345">
          <a:extLst>
            <a:ext uri="{FF2B5EF4-FFF2-40B4-BE49-F238E27FC236}">
              <a16:creationId xmlns:a16="http://schemas.microsoft.com/office/drawing/2014/main" id="{6E9D0260-3568-807B-4A0C-02EF521FC458}"/>
            </a:ext>
          </a:extLst>
        </xdr:cNvPr>
        <xdr:cNvSpPr txBox="1"/>
      </xdr:nvSpPr>
      <xdr:spPr>
        <a:xfrm>
          <a:off x="5464318" y="2904841"/>
          <a:ext cx="266690" cy="168771"/>
        </a:xfrm>
        <a:prstGeom prst="rect">
          <a:avLst/>
        </a:prstGeom>
        <a:solidFill>
          <a:srgbClr val="0099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600">
              <a:solidFill>
                <a:srgbClr val="000000"/>
              </a:solidFill>
            </a:rPr>
            <a:t>37</a:t>
          </a:r>
        </a:p>
      </xdr:txBody>
    </xdr:sp>
    <xdr:clientData/>
  </xdr:twoCellAnchor>
  <xdr:twoCellAnchor>
    <xdr:from>
      <xdr:col>9</xdr:col>
      <xdr:colOff>468629</xdr:colOff>
      <xdr:row>5</xdr:row>
      <xdr:rowOff>119380</xdr:rowOff>
    </xdr:from>
    <xdr:to>
      <xdr:col>9</xdr:col>
      <xdr:colOff>752928</xdr:colOff>
      <xdr:row>6</xdr:row>
      <xdr:rowOff>127000</xdr:rowOff>
    </xdr:to>
    <xdr:sp macro="" textlink="">
      <xdr:nvSpPr>
        <xdr:cNvPr id="1348" name="textruta 1347">
          <a:extLst>
            <a:ext uri="{FF2B5EF4-FFF2-40B4-BE49-F238E27FC236}">
              <a16:creationId xmlns:a16="http://schemas.microsoft.com/office/drawing/2014/main" id="{BC5B9FE7-1A39-AAF3-E9C2-3E8BA192577B}"/>
            </a:ext>
          </a:extLst>
        </xdr:cNvPr>
        <xdr:cNvSpPr txBox="1"/>
      </xdr:nvSpPr>
      <xdr:spPr>
        <a:xfrm>
          <a:off x="9739629" y="1117237"/>
          <a:ext cx="284299" cy="207192"/>
        </a:xfrm>
        <a:prstGeom prst="rect">
          <a:avLst/>
        </a:prstGeom>
        <a:solidFill>
          <a:srgbClr val="0099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600">
              <a:solidFill>
                <a:srgbClr val="000000"/>
              </a:solidFill>
            </a:rPr>
            <a:t>45</a:t>
          </a:r>
        </a:p>
      </xdr:txBody>
    </xdr:sp>
    <xdr:clientData/>
  </xdr:twoCellAnchor>
  <xdr:twoCellAnchor>
    <xdr:from>
      <xdr:col>8</xdr:col>
      <xdr:colOff>335643</xdr:colOff>
      <xdr:row>2</xdr:row>
      <xdr:rowOff>99786</xdr:rowOff>
    </xdr:from>
    <xdr:to>
      <xdr:col>8</xdr:col>
      <xdr:colOff>674370</xdr:colOff>
      <xdr:row>3</xdr:row>
      <xdr:rowOff>105592</xdr:rowOff>
    </xdr:to>
    <xdr:sp macro="" textlink="">
      <xdr:nvSpPr>
        <xdr:cNvPr id="1349" name="textruta 1348">
          <a:extLst>
            <a:ext uri="{FF2B5EF4-FFF2-40B4-BE49-F238E27FC236}">
              <a16:creationId xmlns:a16="http://schemas.microsoft.com/office/drawing/2014/main" id="{74F4010C-7C60-C871-3E6B-5F70F39A78A9}"/>
            </a:ext>
          </a:extLst>
        </xdr:cNvPr>
        <xdr:cNvSpPr txBox="1"/>
      </xdr:nvSpPr>
      <xdr:spPr>
        <a:xfrm>
          <a:off x="8527143" y="498929"/>
          <a:ext cx="338727" cy="205377"/>
        </a:xfrm>
        <a:prstGeom prst="rect">
          <a:avLst/>
        </a:prstGeom>
        <a:solidFill>
          <a:srgbClr val="0099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600">
              <a:solidFill>
                <a:srgbClr val="000000"/>
              </a:solidFill>
            </a:rPr>
            <a:t>45</a:t>
          </a:r>
        </a:p>
      </xdr:txBody>
    </xdr:sp>
    <xdr:clientData/>
  </xdr:twoCellAnchor>
  <xdr:twoCellAnchor>
    <xdr:from>
      <xdr:col>9</xdr:col>
      <xdr:colOff>511319</xdr:colOff>
      <xdr:row>6</xdr:row>
      <xdr:rowOff>58122</xdr:rowOff>
    </xdr:from>
    <xdr:to>
      <xdr:col>9</xdr:col>
      <xdr:colOff>805756</xdr:colOff>
      <xdr:row>7</xdr:row>
      <xdr:rowOff>69370</xdr:rowOff>
    </xdr:to>
    <xdr:sp macro="" textlink="">
      <xdr:nvSpPr>
        <xdr:cNvPr id="1351" name="textruta 1350">
          <a:extLst>
            <a:ext uri="{FF2B5EF4-FFF2-40B4-BE49-F238E27FC236}">
              <a16:creationId xmlns:a16="http://schemas.microsoft.com/office/drawing/2014/main" id="{38D09094-5BA2-A9CB-8C48-09B8B33B6A89}"/>
            </a:ext>
          </a:extLst>
        </xdr:cNvPr>
        <xdr:cNvSpPr txBox="1"/>
      </xdr:nvSpPr>
      <xdr:spPr>
        <a:xfrm>
          <a:off x="9785521" y="1274761"/>
          <a:ext cx="294437" cy="214021"/>
        </a:xfrm>
        <a:prstGeom prst="rect">
          <a:avLst/>
        </a:prstGeom>
        <a:solidFill>
          <a:srgbClr val="FFFF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600">
              <a:solidFill>
                <a:srgbClr val="000000"/>
              </a:solidFill>
            </a:rPr>
            <a:t>45</a:t>
          </a:r>
        </a:p>
      </xdr:txBody>
    </xdr:sp>
    <xdr:clientData/>
  </xdr:twoCellAnchor>
  <xdr:twoCellAnchor>
    <xdr:from>
      <xdr:col>10</xdr:col>
      <xdr:colOff>342855</xdr:colOff>
      <xdr:row>9</xdr:row>
      <xdr:rowOff>119111</xdr:rowOff>
    </xdr:from>
    <xdr:to>
      <xdr:col>10</xdr:col>
      <xdr:colOff>628596</xdr:colOff>
      <xdr:row>10</xdr:row>
      <xdr:rowOff>175026</xdr:rowOff>
    </xdr:to>
    <xdr:sp macro="" textlink="">
      <xdr:nvSpPr>
        <xdr:cNvPr id="1352" name="textruta 1351">
          <a:extLst>
            <a:ext uri="{FF2B5EF4-FFF2-40B4-BE49-F238E27FC236}">
              <a16:creationId xmlns:a16="http://schemas.microsoft.com/office/drawing/2014/main" id="{E5ADDEBA-A263-FDCD-E02B-73E7E171AEB1}"/>
            </a:ext>
          </a:extLst>
        </xdr:cNvPr>
        <xdr:cNvSpPr txBox="1"/>
      </xdr:nvSpPr>
      <xdr:spPr>
        <a:xfrm>
          <a:off x="10726973" y="1934464"/>
          <a:ext cx="285741" cy="257621"/>
        </a:xfrm>
        <a:prstGeom prst="rect">
          <a:avLst/>
        </a:prstGeom>
        <a:solidFill>
          <a:srgbClr val="FFFF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780">
              <a:solidFill>
                <a:srgbClr val="000000"/>
              </a:solidFill>
            </a:rPr>
            <a:t>45</a:t>
          </a:r>
        </a:p>
      </xdr:txBody>
    </xdr:sp>
    <xdr:clientData/>
  </xdr:twoCellAnchor>
  <xdr:twoCellAnchor>
    <xdr:from>
      <xdr:col>7</xdr:col>
      <xdr:colOff>409926</xdr:colOff>
      <xdr:row>5</xdr:row>
      <xdr:rowOff>161800</xdr:rowOff>
    </xdr:from>
    <xdr:to>
      <xdr:col>7</xdr:col>
      <xdr:colOff>640336</xdr:colOff>
      <xdr:row>6</xdr:row>
      <xdr:rowOff>160084</xdr:rowOff>
    </xdr:to>
    <xdr:sp macro="" textlink="">
      <xdr:nvSpPr>
        <xdr:cNvPr id="1354" name="textruta 1353">
          <a:extLst>
            <a:ext uri="{FF2B5EF4-FFF2-40B4-BE49-F238E27FC236}">
              <a16:creationId xmlns:a16="http://schemas.microsoft.com/office/drawing/2014/main" id="{A882354E-B03E-3AD2-69AC-2C604C1C14CF}"/>
            </a:ext>
          </a:extLst>
        </xdr:cNvPr>
        <xdr:cNvSpPr txBox="1"/>
      </xdr:nvSpPr>
      <xdr:spPr>
        <a:xfrm>
          <a:off x="7528329" y="1175666"/>
          <a:ext cx="230410" cy="201057"/>
        </a:xfrm>
        <a:prstGeom prst="rect">
          <a:avLst/>
        </a:prstGeom>
        <a:solidFill>
          <a:srgbClr val="FFFF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780">
              <a:solidFill>
                <a:srgbClr val="000000"/>
              </a:solidFill>
            </a:rPr>
            <a:t>4</a:t>
          </a:r>
        </a:p>
      </xdr:txBody>
    </xdr:sp>
    <xdr:clientData/>
  </xdr:twoCellAnchor>
  <xdr:twoCellAnchor>
    <xdr:from>
      <xdr:col>5</xdr:col>
      <xdr:colOff>186765</xdr:colOff>
      <xdr:row>9</xdr:row>
      <xdr:rowOff>184823</xdr:rowOff>
    </xdr:from>
    <xdr:to>
      <xdr:col>5</xdr:col>
      <xdr:colOff>488374</xdr:colOff>
      <xdr:row>11</xdr:row>
      <xdr:rowOff>117396</xdr:rowOff>
    </xdr:to>
    <xdr:sp macro="" textlink="">
      <xdr:nvSpPr>
        <xdr:cNvPr id="1355" name="textruta 1354">
          <a:extLst>
            <a:ext uri="{FF2B5EF4-FFF2-40B4-BE49-F238E27FC236}">
              <a16:creationId xmlns:a16="http://schemas.microsoft.com/office/drawing/2014/main" id="{9466C5DD-C740-48FC-93D5-604C6299E4A3}"/>
            </a:ext>
          </a:extLst>
        </xdr:cNvPr>
        <xdr:cNvSpPr txBox="1"/>
      </xdr:nvSpPr>
      <xdr:spPr>
        <a:xfrm>
          <a:off x="5400168" y="2009781"/>
          <a:ext cx="301609" cy="338119"/>
        </a:xfrm>
        <a:prstGeom prst="ellipse">
          <a:avLst/>
        </a:prstGeom>
        <a:solidFill>
          <a:srgbClr val="FFFF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1318">
              <a:solidFill>
                <a:srgbClr val="000000"/>
              </a:solidFill>
            </a:rPr>
            <a:t>4</a:t>
          </a:r>
        </a:p>
      </xdr:txBody>
    </xdr:sp>
    <xdr:clientData/>
  </xdr:twoCellAnchor>
  <xdr:twoCellAnchor>
    <xdr:from>
      <xdr:col>6</xdr:col>
      <xdr:colOff>400776</xdr:colOff>
      <xdr:row>10</xdr:row>
      <xdr:rowOff>84802</xdr:rowOff>
    </xdr:from>
    <xdr:to>
      <xdr:col>6</xdr:col>
      <xdr:colOff>629664</xdr:colOff>
      <xdr:row>11</xdr:row>
      <xdr:rowOff>53362</xdr:rowOff>
    </xdr:to>
    <xdr:sp macro="" textlink="">
      <xdr:nvSpPr>
        <xdr:cNvPr id="1357" name="textruta 1356">
          <a:extLst>
            <a:ext uri="{FF2B5EF4-FFF2-40B4-BE49-F238E27FC236}">
              <a16:creationId xmlns:a16="http://schemas.microsoft.com/office/drawing/2014/main" id="{D3AAADEE-A72B-48AD-93F2-782BA75D9D7C}"/>
            </a:ext>
          </a:extLst>
        </xdr:cNvPr>
        <xdr:cNvSpPr txBox="1"/>
      </xdr:nvSpPr>
      <xdr:spPr>
        <a:xfrm>
          <a:off x="6441280" y="2112533"/>
          <a:ext cx="228888" cy="171333"/>
        </a:xfrm>
        <a:prstGeom prst="rect">
          <a:avLst/>
        </a:prstGeom>
        <a:solidFill>
          <a:srgbClr val="FFFF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600">
              <a:solidFill>
                <a:srgbClr val="000000"/>
              </a:solidFill>
            </a:rPr>
            <a:t>8</a:t>
          </a:r>
        </a:p>
      </xdr:txBody>
    </xdr:sp>
    <xdr:clientData/>
  </xdr:twoCellAnchor>
  <xdr:twoCellAnchor>
    <xdr:from>
      <xdr:col>6</xdr:col>
      <xdr:colOff>539750</xdr:colOff>
      <xdr:row>6</xdr:row>
      <xdr:rowOff>101600</xdr:rowOff>
    </xdr:from>
    <xdr:to>
      <xdr:col>9</xdr:col>
      <xdr:colOff>539750</xdr:colOff>
      <xdr:row>10</xdr:row>
      <xdr:rowOff>101600</xdr:rowOff>
    </xdr:to>
    <xdr:cxnSp macro="">
      <xdr:nvCxnSpPr>
        <xdr:cNvPr id="1360" name="pil_z7_z5">
          <a:extLst>
            <a:ext uri="{FF2B5EF4-FFF2-40B4-BE49-F238E27FC236}">
              <a16:creationId xmlns:a16="http://schemas.microsoft.com/office/drawing/2014/main" id="{726E6971-1C23-E4D9-00FB-D33B3A980C50}"/>
            </a:ext>
          </a:extLst>
        </xdr:cNvPr>
        <xdr:cNvCxnSpPr/>
      </xdr:nvCxnSpPr>
      <xdr:spPr>
        <a:xfrm flipV="1">
          <a:off x="6572250" y="1320800"/>
          <a:ext cx="3238500" cy="812800"/>
        </a:xfrm>
        <a:prstGeom prst="straightConnector1">
          <a:avLst/>
        </a:prstGeom>
        <a:ln w="31750">
          <a:solidFill>
            <a:srgbClr val="00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539750</xdr:colOff>
      <xdr:row>10</xdr:row>
      <xdr:rowOff>44823</xdr:rowOff>
    </xdr:from>
    <xdr:to>
      <xdr:col>10</xdr:col>
      <xdr:colOff>470647</xdr:colOff>
      <xdr:row>14</xdr:row>
      <xdr:rowOff>101600</xdr:rowOff>
    </xdr:to>
    <xdr:cxnSp macro="">
      <xdr:nvCxnSpPr>
        <xdr:cNvPr id="1361" name="pil_z11_z8">
          <a:extLst>
            <a:ext uri="{FF2B5EF4-FFF2-40B4-BE49-F238E27FC236}">
              <a16:creationId xmlns:a16="http://schemas.microsoft.com/office/drawing/2014/main" id="{51B64DC9-0D8E-52BA-73DC-359871A994A1}"/>
            </a:ext>
          </a:extLst>
        </xdr:cNvPr>
        <xdr:cNvCxnSpPr/>
      </xdr:nvCxnSpPr>
      <xdr:spPr>
        <a:xfrm flipV="1">
          <a:off x="8757397" y="2061882"/>
          <a:ext cx="2097368" cy="863600"/>
        </a:xfrm>
        <a:prstGeom prst="straightConnector1">
          <a:avLst/>
        </a:prstGeom>
        <a:ln w="50800">
          <a:solidFill>
            <a:srgbClr val="00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539750</xdr:colOff>
      <xdr:row>6</xdr:row>
      <xdr:rowOff>101600</xdr:rowOff>
    </xdr:from>
    <xdr:to>
      <xdr:col>7</xdr:col>
      <xdr:colOff>539750</xdr:colOff>
      <xdr:row>14</xdr:row>
      <xdr:rowOff>101600</xdr:rowOff>
    </xdr:to>
    <xdr:cxnSp macro="">
      <xdr:nvCxnSpPr>
        <xdr:cNvPr id="1363" name="pil_z10_z4">
          <a:extLst>
            <a:ext uri="{FF2B5EF4-FFF2-40B4-BE49-F238E27FC236}">
              <a16:creationId xmlns:a16="http://schemas.microsoft.com/office/drawing/2014/main" id="{A129FF25-4340-5B5F-D089-DDBD42555197}"/>
            </a:ext>
          </a:extLst>
        </xdr:cNvPr>
        <xdr:cNvCxnSpPr/>
      </xdr:nvCxnSpPr>
      <xdr:spPr>
        <a:xfrm flipV="1">
          <a:off x="6572250" y="1320800"/>
          <a:ext cx="1079500" cy="1625600"/>
        </a:xfrm>
        <a:prstGeom prst="straightConnector1">
          <a:avLst/>
        </a:prstGeom>
        <a:ln w="31750">
          <a:solidFill>
            <a:srgbClr val="00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450103</xdr:colOff>
      <xdr:row>10</xdr:row>
      <xdr:rowOff>133617</xdr:rowOff>
    </xdr:from>
    <xdr:to>
      <xdr:col>5</xdr:col>
      <xdr:colOff>450103</xdr:colOff>
      <xdr:row>14</xdr:row>
      <xdr:rowOff>133617</xdr:rowOff>
    </xdr:to>
    <xdr:cxnSp macro="">
      <xdr:nvCxnSpPr>
        <xdr:cNvPr id="1364" name="pil_z9_z6">
          <a:extLst>
            <a:ext uri="{FF2B5EF4-FFF2-40B4-BE49-F238E27FC236}">
              <a16:creationId xmlns:a16="http://schemas.microsoft.com/office/drawing/2014/main" id="{4369C856-8B59-CC8F-08BF-1FAA0007D56B}"/>
            </a:ext>
          </a:extLst>
        </xdr:cNvPr>
        <xdr:cNvCxnSpPr/>
      </xdr:nvCxnSpPr>
      <xdr:spPr>
        <a:xfrm flipV="1">
          <a:off x="5663506" y="2161348"/>
          <a:ext cx="0" cy="811093"/>
        </a:xfrm>
        <a:prstGeom prst="straightConnector1">
          <a:avLst/>
        </a:prstGeom>
        <a:ln w="50800">
          <a:solidFill>
            <a:srgbClr val="00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412750</xdr:colOff>
      <xdr:row>10</xdr:row>
      <xdr:rowOff>101600</xdr:rowOff>
    </xdr:from>
    <xdr:to>
      <xdr:col>6</xdr:col>
      <xdr:colOff>539750</xdr:colOff>
      <xdr:row>14</xdr:row>
      <xdr:rowOff>101600</xdr:rowOff>
    </xdr:to>
    <xdr:cxnSp macro="">
      <xdr:nvCxnSpPr>
        <xdr:cNvPr id="1366" name="pil_z10_z6">
          <a:extLst>
            <a:ext uri="{FF2B5EF4-FFF2-40B4-BE49-F238E27FC236}">
              <a16:creationId xmlns:a16="http://schemas.microsoft.com/office/drawing/2014/main" id="{172D2DE1-2569-F37B-121A-2E58EA117B15}"/>
            </a:ext>
          </a:extLst>
        </xdr:cNvPr>
        <xdr:cNvCxnSpPr/>
      </xdr:nvCxnSpPr>
      <xdr:spPr>
        <a:xfrm flipH="1" flipV="1">
          <a:off x="5619750" y="2133600"/>
          <a:ext cx="952500" cy="812800"/>
        </a:xfrm>
        <a:prstGeom prst="straightConnector1">
          <a:avLst/>
        </a:prstGeom>
        <a:ln w="31750">
          <a:solidFill>
            <a:srgbClr val="00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412750</xdr:colOff>
      <xdr:row>10</xdr:row>
      <xdr:rowOff>101600</xdr:rowOff>
    </xdr:from>
    <xdr:to>
      <xdr:col>6</xdr:col>
      <xdr:colOff>539750</xdr:colOff>
      <xdr:row>10</xdr:row>
      <xdr:rowOff>101600</xdr:rowOff>
    </xdr:to>
    <xdr:cxnSp macro="">
      <xdr:nvCxnSpPr>
        <xdr:cNvPr id="1367" name="pil_z6_z7">
          <a:extLst>
            <a:ext uri="{FF2B5EF4-FFF2-40B4-BE49-F238E27FC236}">
              <a16:creationId xmlns:a16="http://schemas.microsoft.com/office/drawing/2014/main" id="{56344A4A-B06E-88A2-C97A-9E9D33C91325}"/>
            </a:ext>
          </a:extLst>
        </xdr:cNvPr>
        <xdr:cNvCxnSpPr/>
      </xdr:nvCxnSpPr>
      <xdr:spPr>
        <a:xfrm>
          <a:off x="5619750" y="2133600"/>
          <a:ext cx="952500" cy="0"/>
        </a:xfrm>
        <a:prstGeom prst="straightConnector1">
          <a:avLst/>
        </a:prstGeom>
        <a:ln w="31750">
          <a:solidFill>
            <a:srgbClr val="00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412750</xdr:colOff>
      <xdr:row>10</xdr:row>
      <xdr:rowOff>101600</xdr:rowOff>
    </xdr:from>
    <xdr:to>
      <xdr:col>8</xdr:col>
      <xdr:colOff>539750</xdr:colOff>
      <xdr:row>14</xdr:row>
      <xdr:rowOff>101600</xdr:rowOff>
    </xdr:to>
    <xdr:cxnSp macro="">
      <xdr:nvCxnSpPr>
        <xdr:cNvPr id="1369" name="pil_z11_z6">
          <a:extLst>
            <a:ext uri="{FF2B5EF4-FFF2-40B4-BE49-F238E27FC236}">
              <a16:creationId xmlns:a16="http://schemas.microsoft.com/office/drawing/2014/main" id="{59EB331C-2F12-6821-3C20-543F51B48A7D}"/>
            </a:ext>
          </a:extLst>
        </xdr:cNvPr>
        <xdr:cNvCxnSpPr/>
      </xdr:nvCxnSpPr>
      <xdr:spPr>
        <a:xfrm flipH="1" flipV="1">
          <a:off x="5619750" y="2133600"/>
          <a:ext cx="3111500" cy="812800"/>
        </a:xfrm>
        <a:prstGeom prst="straightConnector1">
          <a:avLst/>
        </a:prstGeom>
        <a:ln w="31750">
          <a:solidFill>
            <a:srgbClr val="00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412750</xdr:colOff>
      <xdr:row>10</xdr:row>
      <xdr:rowOff>101600</xdr:rowOff>
    </xdr:from>
    <xdr:to>
      <xdr:col>10</xdr:col>
      <xdr:colOff>412750</xdr:colOff>
      <xdr:row>10</xdr:row>
      <xdr:rowOff>101600</xdr:rowOff>
    </xdr:to>
    <xdr:cxnSp macro="">
      <xdr:nvCxnSpPr>
        <xdr:cNvPr id="1370" name="pil_z8_z8">
          <a:extLst>
            <a:ext uri="{FF2B5EF4-FFF2-40B4-BE49-F238E27FC236}">
              <a16:creationId xmlns:a16="http://schemas.microsoft.com/office/drawing/2014/main" id="{F7D00BB9-6F2F-DF2B-01DA-0ABACE887714}"/>
            </a:ext>
          </a:extLst>
        </xdr:cNvPr>
        <xdr:cNvCxnSpPr/>
      </xdr:nvCxnSpPr>
      <xdr:spPr>
        <a:xfrm>
          <a:off x="10763250" y="2133600"/>
          <a:ext cx="0" cy="0"/>
        </a:xfrm>
        <a:prstGeom prst="straightConnector1">
          <a:avLst/>
        </a:prstGeom>
        <a:ln w="31750">
          <a:solidFill>
            <a:srgbClr val="00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539750</xdr:colOff>
      <xdr:row>6</xdr:row>
      <xdr:rowOff>101600</xdr:rowOff>
    </xdr:from>
    <xdr:to>
      <xdr:col>9</xdr:col>
      <xdr:colOff>539750</xdr:colOff>
      <xdr:row>6</xdr:row>
      <xdr:rowOff>101600</xdr:rowOff>
    </xdr:to>
    <xdr:cxnSp macro="">
      <xdr:nvCxnSpPr>
        <xdr:cNvPr id="1372" name="pil_z5_z4">
          <a:extLst>
            <a:ext uri="{FF2B5EF4-FFF2-40B4-BE49-F238E27FC236}">
              <a16:creationId xmlns:a16="http://schemas.microsoft.com/office/drawing/2014/main" id="{A75C5046-D9D6-C61E-671B-F4028C5E939D}"/>
            </a:ext>
          </a:extLst>
        </xdr:cNvPr>
        <xdr:cNvCxnSpPr/>
      </xdr:nvCxnSpPr>
      <xdr:spPr>
        <a:xfrm flipH="1">
          <a:off x="7651750" y="1320800"/>
          <a:ext cx="2159000" cy="0"/>
        </a:xfrm>
        <a:prstGeom prst="straightConnector1">
          <a:avLst/>
        </a:prstGeom>
        <a:ln w="31750">
          <a:solidFill>
            <a:srgbClr val="00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512536</xdr:colOff>
      <xdr:row>3</xdr:row>
      <xdr:rowOff>183243</xdr:rowOff>
    </xdr:from>
    <xdr:to>
      <xdr:col>9</xdr:col>
      <xdr:colOff>993589</xdr:colOff>
      <xdr:row>9</xdr:row>
      <xdr:rowOff>97118</xdr:rowOff>
    </xdr:to>
    <xdr:cxnSp macro="">
      <xdr:nvCxnSpPr>
        <xdr:cNvPr id="1373" name="pil_z2_z8">
          <a:extLst>
            <a:ext uri="{FF2B5EF4-FFF2-40B4-BE49-F238E27FC236}">
              <a16:creationId xmlns:a16="http://schemas.microsoft.com/office/drawing/2014/main" id="{D127C2B6-C5FB-0D24-B608-0D5A2BDDEA71}"/>
            </a:ext>
          </a:extLst>
        </xdr:cNvPr>
        <xdr:cNvCxnSpPr/>
      </xdr:nvCxnSpPr>
      <xdr:spPr>
        <a:xfrm>
          <a:off x="8730183" y="788361"/>
          <a:ext cx="1564288" cy="1124110"/>
        </a:xfrm>
        <a:prstGeom prst="straightConnector1">
          <a:avLst/>
        </a:prstGeom>
        <a:ln w="31750">
          <a:solidFill>
            <a:srgbClr val="0066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986118</xdr:colOff>
      <xdr:row>9</xdr:row>
      <xdr:rowOff>23916</xdr:rowOff>
    </xdr:from>
    <xdr:to>
      <xdr:col>10</xdr:col>
      <xdr:colOff>205761</xdr:colOff>
      <xdr:row>10</xdr:row>
      <xdr:rowOff>22200</xdr:rowOff>
    </xdr:to>
    <xdr:sp macro="" textlink="">
      <xdr:nvSpPr>
        <xdr:cNvPr id="1375" name="textruta 1374">
          <a:extLst>
            <a:ext uri="{FF2B5EF4-FFF2-40B4-BE49-F238E27FC236}">
              <a16:creationId xmlns:a16="http://schemas.microsoft.com/office/drawing/2014/main" id="{AD622F21-6F4D-3044-AEC9-3142D10CDE15}"/>
            </a:ext>
          </a:extLst>
        </xdr:cNvPr>
        <xdr:cNvSpPr txBox="1"/>
      </xdr:nvSpPr>
      <xdr:spPr>
        <a:xfrm>
          <a:off x="10287000" y="1839269"/>
          <a:ext cx="302879" cy="199990"/>
        </a:xfrm>
        <a:prstGeom prst="rect">
          <a:avLst/>
        </a:prstGeom>
        <a:solidFill>
          <a:srgbClr val="FFFF00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sv-SE" sz="780">
              <a:solidFill>
                <a:srgbClr val="000000"/>
              </a:solidFill>
            </a:rPr>
            <a:t>4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2EAF9-2D34-2349-B422-4DB8D425A4E4}">
  <sheetPr codeName="Blad1"/>
  <dimension ref="A1:AZ36"/>
  <sheetViews>
    <sheetView tabSelected="1" zoomScale="80" zoomScaleNormal="80" workbookViewId="0">
      <selection activeCell="AA39" sqref="AA39"/>
    </sheetView>
  </sheetViews>
  <sheetFormatPr baseColWidth="10" defaultRowHeight="16" x14ac:dyDescent="0.2"/>
  <cols>
    <col min="1" max="19" width="4.1640625" customWidth="1"/>
    <col min="21" max="36" width="4.1640625" customWidth="1"/>
    <col min="37" max="37" width="5.83203125" style="97" customWidth="1"/>
    <col min="39" max="39" width="7.83203125" customWidth="1"/>
    <col min="40" max="40" width="7.1640625" customWidth="1"/>
    <col min="41" max="41" width="7.83203125" customWidth="1"/>
    <col min="42" max="42" width="7.6640625" customWidth="1"/>
    <col min="43" max="43" width="10.5" style="36" hidden="1" customWidth="1"/>
    <col min="44" max="44" width="10.1640625" hidden="1" customWidth="1"/>
    <col min="45" max="48" width="7.5" customWidth="1"/>
  </cols>
  <sheetData>
    <row r="1" spans="1:52" ht="17" x14ac:dyDescent="0.2">
      <c r="A1" s="1"/>
      <c r="B1" s="2"/>
      <c r="C1" s="2"/>
      <c r="D1" s="2"/>
      <c r="E1" s="2"/>
      <c r="F1" s="2"/>
      <c r="G1" s="122" t="s">
        <v>4</v>
      </c>
      <c r="H1" s="122"/>
      <c r="I1" s="122"/>
      <c r="J1" s="122"/>
      <c r="K1" s="2"/>
      <c r="L1" s="2"/>
      <c r="M1" s="2"/>
      <c r="N1" s="2"/>
      <c r="O1" s="2"/>
      <c r="P1" s="3"/>
      <c r="U1" s="1"/>
      <c r="V1" s="2"/>
      <c r="W1" s="2"/>
      <c r="X1" s="2"/>
      <c r="Y1" s="2"/>
      <c r="Z1" s="2"/>
      <c r="AA1" s="122" t="s">
        <v>5</v>
      </c>
      <c r="AB1" s="122"/>
      <c r="AC1" s="122"/>
      <c r="AD1" s="122"/>
      <c r="AE1" s="2"/>
      <c r="AF1" s="2"/>
      <c r="AG1" s="2"/>
      <c r="AH1" s="2"/>
      <c r="AI1" s="2"/>
      <c r="AJ1" s="3"/>
      <c r="AL1" s="86" t="s">
        <v>38</v>
      </c>
      <c r="AM1" s="44" t="s">
        <v>9</v>
      </c>
      <c r="AN1" s="44" t="s">
        <v>10</v>
      </c>
      <c r="AO1" s="44" t="s">
        <v>11</v>
      </c>
      <c r="AP1" s="88" t="s">
        <v>74</v>
      </c>
      <c r="AQ1" s="44" t="s">
        <v>68</v>
      </c>
      <c r="AR1" s="44" t="s">
        <v>57</v>
      </c>
      <c r="AS1" s="13" t="s">
        <v>39</v>
      </c>
      <c r="AT1" t="s">
        <v>68</v>
      </c>
      <c r="AU1" t="s">
        <v>57</v>
      </c>
      <c r="AV1" t="s">
        <v>69</v>
      </c>
      <c r="AW1" t="s">
        <v>71</v>
      </c>
      <c r="AX1" t="s">
        <v>70</v>
      </c>
      <c r="AY1" t="s">
        <v>72</v>
      </c>
    </row>
    <row r="2" spans="1:52" x14ac:dyDescent="0.2">
      <c r="A2" s="4"/>
      <c r="P2" s="5"/>
      <c r="U2" s="4"/>
      <c r="AJ2" s="5"/>
      <c r="AL2" s="33">
        <v>4</v>
      </c>
      <c r="AM2" s="34">
        <f>SUM(SkottSpelare!33:33,SkottSpelare!37:37,SkottSpelare!41:41)</f>
        <v>1</v>
      </c>
      <c r="AN2" s="34">
        <f>SUM(SkottSpelare!34:34,SkottSpelare!38:38,SkottSpelare!42:42)</f>
        <v>1</v>
      </c>
      <c r="AO2" s="34">
        <f>SUM(SkottSpelare!35:35,SkottSpelare!39:39,SkottSpelare!43:43)</f>
        <v>1</v>
      </c>
      <c r="AP2" s="34">
        <f>SUM(SkottSpelare!36:36,SkottSpelare!40:40,SkottSpelare!44:44)</f>
        <v>1</v>
      </c>
      <c r="AQ2" s="36">
        <f>SUM(AM2/(AM2+AN2+AO2))</f>
        <v>0.33333333333333331</v>
      </c>
      <c r="AR2" s="36">
        <f>SUM(AP2/(AO2+AN2+AM2))</f>
        <v>0.33333333333333331</v>
      </c>
      <c r="AS2" s="13">
        <f>SUM('p1:p4'!AS2)</f>
        <v>1</v>
      </c>
      <c r="AT2" s="13">
        <f>SUM('p1:p4'!AT2)</f>
        <v>5</v>
      </c>
      <c r="AU2">
        <f>SUM('p1:p4'!AU2)</f>
        <v>2</v>
      </c>
      <c r="AV2">
        <f>SUM('p1:p4'!AV2)</f>
        <v>5</v>
      </c>
      <c r="AW2" s="13">
        <f>SUM('p1:p4'!AW2)</f>
        <v>6</v>
      </c>
      <c r="AX2" s="13">
        <f>SUM('p1:p4'!AX2)</f>
        <v>0</v>
      </c>
      <c r="AY2" s="13">
        <f>SUM('p1:p4'!AY2)</f>
        <v>5</v>
      </c>
      <c r="AZ2" s="13"/>
    </row>
    <row r="3" spans="1:52" x14ac:dyDescent="0.2">
      <c r="A3" s="90">
        <v>0.155</v>
      </c>
      <c r="B3" s="91">
        <f>SUM(B4:B6)</f>
        <v>9</v>
      </c>
      <c r="C3" s="91">
        <f>SUM(A3*B3)</f>
        <v>1.395</v>
      </c>
      <c r="D3" s="20"/>
      <c r="E3" s="20"/>
      <c r="F3" s="20"/>
      <c r="G3" s="20"/>
      <c r="H3" s="92">
        <v>0.188</v>
      </c>
      <c r="I3" s="91">
        <f>SUM(I4:I6)</f>
        <v>2</v>
      </c>
      <c r="J3" s="91">
        <f>SUM(H3*I3)</f>
        <v>0.376</v>
      </c>
      <c r="K3" s="20"/>
      <c r="L3" s="20"/>
      <c r="M3" s="20"/>
      <c r="N3" s="92">
        <v>0.17699999999999999</v>
      </c>
      <c r="O3" s="91">
        <f>SUM(O4:O6)</f>
        <v>3</v>
      </c>
      <c r="P3" s="93">
        <f>SUM(N3*O3)</f>
        <v>0.53099999999999992</v>
      </c>
      <c r="U3" s="90">
        <v>0.155</v>
      </c>
      <c r="V3" s="91">
        <f>SUM(V4:V6)</f>
        <v>3</v>
      </c>
      <c r="W3" s="91">
        <f>SUM(U3*V3)</f>
        <v>0.46499999999999997</v>
      </c>
      <c r="X3" s="20"/>
      <c r="Y3" s="20"/>
      <c r="Z3" s="20"/>
      <c r="AA3" s="20"/>
      <c r="AB3" s="92">
        <v>0.188</v>
      </c>
      <c r="AC3" s="91">
        <f>SUM(AC4:AC6)</f>
        <v>4</v>
      </c>
      <c r="AD3" s="91">
        <f>SUM(AB3*AC3)</f>
        <v>0.752</v>
      </c>
      <c r="AE3" s="20"/>
      <c r="AF3" s="20"/>
      <c r="AG3" s="20"/>
      <c r="AH3" s="92">
        <v>0.17699999999999999</v>
      </c>
      <c r="AI3" s="91">
        <f>SUM(AI4:AI6)</f>
        <v>2</v>
      </c>
      <c r="AJ3" s="93">
        <f>SUM(AH3*AI3)</f>
        <v>0.35399999999999998</v>
      </c>
      <c r="AL3" s="33">
        <v>7</v>
      </c>
      <c r="AM3" s="34">
        <f>SUM(SkottSpelare!78:78,SkottSpelare!82:82,SkottSpelare!86:86)</f>
        <v>1</v>
      </c>
      <c r="AN3" s="34">
        <f>SUM(SkottSpelare!79:79,SkottSpelare!83:83,SkottSpelare!87:87)</f>
        <v>2</v>
      </c>
      <c r="AO3" s="34">
        <f>SUM(SkottSpelare!80:80,SkottSpelare!84:84,SkottSpelare!88:88)</f>
        <v>3</v>
      </c>
      <c r="AP3" s="34">
        <f>SUM(SkottSpelare!81:81,SkottSpelare!85:85,SkottSpelare!89:89)</f>
        <v>0</v>
      </c>
      <c r="AQ3" s="36">
        <f t="shared" ref="AQ3:AQ9" si="0">SUM(AM3/(AM3+AN3+AO3))</f>
        <v>0.16666666666666666</v>
      </c>
      <c r="AR3" s="36">
        <f t="shared" ref="AR3:AR9" si="1">SUM(AP3/(AO3+AN3+AM3))</f>
        <v>0</v>
      </c>
      <c r="AS3" s="13">
        <f>SUM('p1:p4'!AS3)</f>
        <v>0</v>
      </c>
      <c r="AT3">
        <f>SUM('p1:p4'!AT3)</f>
        <v>8</v>
      </c>
      <c r="AU3">
        <f>SUM('p1:p4'!AU3)</f>
        <v>1</v>
      </c>
      <c r="AV3">
        <f>SUM('p1:p4'!AV3)</f>
        <v>9</v>
      </c>
      <c r="AW3" s="13">
        <f>SUM('p1:p4'!AW3)</f>
        <v>7</v>
      </c>
      <c r="AX3">
        <f>SUM('p1:p4'!AX3)</f>
        <v>1</v>
      </c>
      <c r="AY3">
        <f>SUM('p1:p4'!AY3)</f>
        <v>5</v>
      </c>
    </row>
    <row r="4" spans="1:52" x14ac:dyDescent="0.2">
      <c r="A4" t="s">
        <v>0</v>
      </c>
      <c r="B4">
        <f>SUM('p1:p4'!B4)</f>
        <v>3</v>
      </c>
      <c r="H4" t="s">
        <v>0</v>
      </c>
      <c r="I4">
        <f>SUM('p1:p4'!I4)</f>
        <v>0</v>
      </c>
      <c r="N4" t="s">
        <v>0</v>
      </c>
      <c r="O4">
        <f>SUM('p1:p4'!O4)</f>
        <v>0</v>
      </c>
      <c r="P4" s="5"/>
      <c r="U4" s="4" t="s">
        <v>0</v>
      </c>
      <c r="V4">
        <f>SUM('p1:p4'!V4)</f>
        <v>2</v>
      </c>
      <c r="AB4" t="s">
        <v>0</v>
      </c>
      <c r="AC4">
        <f>SUM('p1:p4'!AC4)</f>
        <v>2</v>
      </c>
      <c r="AH4" t="s">
        <v>0</v>
      </c>
      <c r="AI4">
        <f>SUM('p1:p4'!AI4)</f>
        <v>0</v>
      </c>
      <c r="AJ4" s="5"/>
      <c r="AL4" s="33">
        <v>6</v>
      </c>
      <c r="AM4" s="34">
        <f>SUM(SkottSpelare!93:93,SkottSpelare!97:97,SkottSpelare!101:101)</f>
        <v>0</v>
      </c>
      <c r="AN4" s="34">
        <f>SUM(SkottSpelare!94:94,SkottSpelare!98:98,SkottSpelare!102:102)</f>
        <v>0</v>
      </c>
      <c r="AO4" s="34">
        <f>SUM(SkottSpelare!103:103,SkottSpelare!99:99,SkottSpelare!95:95)</f>
        <v>0</v>
      </c>
      <c r="AP4" s="34">
        <f>SUM(SkottSpelare!96:96,SkottSpelare!100:100,SkottSpelare!104:104)</f>
        <v>0</v>
      </c>
      <c r="AQ4" s="36" t="e">
        <f>SUM(AM4/(AM4+AN4+AO4))</f>
        <v>#DIV/0!</v>
      </c>
      <c r="AR4" s="36" t="e">
        <f>SUM(AP4/(AO4+AN4+AM4))</f>
        <v>#DIV/0!</v>
      </c>
      <c r="AS4" s="13">
        <f>SUM('p1:p4'!AS4)</f>
        <v>0</v>
      </c>
      <c r="AT4" s="13">
        <f>SUM('p1:p4'!AT4)</f>
        <v>0</v>
      </c>
      <c r="AU4">
        <f>SUM('p1:p4'!AU4)</f>
        <v>0</v>
      </c>
      <c r="AV4">
        <f>SUM('p1:p4'!AV4)</f>
        <v>0</v>
      </c>
      <c r="AW4" s="13">
        <f>SUM('p1:p4'!AW4)</f>
        <v>0</v>
      </c>
      <c r="AX4" s="13">
        <f>SUM('p1:p4'!AX4)</f>
        <v>0</v>
      </c>
      <c r="AY4">
        <f>SUM('p1:p4'!AY4)</f>
        <v>0</v>
      </c>
    </row>
    <row r="5" spans="1:52" x14ac:dyDescent="0.2">
      <c r="A5" t="s">
        <v>1</v>
      </c>
      <c r="B5">
        <f>SUM('p1:p4'!B5)</f>
        <v>2</v>
      </c>
      <c r="H5" t="s">
        <v>1</v>
      </c>
      <c r="I5">
        <f>SUM('p1:p4'!I5)</f>
        <v>0</v>
      </c>
      <c r="N5" t="s">
        <v>1</v>
      </c>
      <c r="O5">
        <f>SUM('p1:p4'!O5)</f>
        <v>0</v>
      </c>
      <c r="P5" s="5"/>
      <c r="U5" s="4" t="s">
        <v>1</v>
      </c>
      <c r="V5">
        <f>SUM('p1:p4'!V5)</f>
        <v>0</v>
      </c>
      <c r="AB5" t="s">
        <v>1</v>
      </c>
      <c r="AC5">
        <f>SUM('p1:p4'!AC5)</f>
        <v>0</v>
      </c>
      <c r="AH5" t="s">
        <v>1</v>
      </c>
      <c r="AI5">
        <f>SUM('p1:p4'!AI5)</f>
        <v>0</v>
      </c>
      <c r="AJ5" s="5"/>
      <c r="AL5" s="33">
        <v>2</v>
      </c>
      <c r="AM5" s="34">
        <f>SUM(SkottSpelare!138:138,SkottSpelare!142:142,SkottSpelare!146:146)</f>
        <v>0</v>
      </c>
      <c r="AN5" s="34">
        <f>SUM(SkottSpelare!139:139,SkottSpelare!143:143,SkottSpelare!147:147)</f>
        <v>0</v>
      </c>
      <c r="AO5" s="34">
        <f>SUM(SkottSpelare!140:140,SkottSpelare!144:144,SkottSpelare!148:148)</f>
        <v>0</v>
      </c>
      <c r="AP5" s="34">
        <f>SUM(SkottSpelare!141:141,SkottSpelare!145:145,SkottSpelare!149:149)</f>
        <v>0</v>
      </c>
      <c r="AQ5" s="36" t="e">
        <f t="shared" si="0"/>
        <v>#DIV/0!</v>
      </c>
      <c r="AR5" s="36" t="e">
        <f t="shared" si="1"/>
        <v>#DIV/0!</v>
      </c>
      <c r="AS5" s="13">
        <f>SUM('p1:p4'!AS5)</f>
        <v>0</v>
      </c>
      <c r="AT5">
        <f>SUM('p1:p4'!AT5)</f>
        <v>0</v>
      </c>
      <c r="AU5">
        <f>SUM('p1:p4'!AU5)</f>
        <v>0</v>
      </c>
      <c r="AV5">
        <f>SUM('p1:p4'!AV5)</f>
        <v>0</v>
      </c>
      <c r="AW5" s="13">
        <f>SUM('p1:p4'!AW5)</f>
        <v>0</v>
      </c>
      <c r="AX5">
        <f>SUM('p1:p4'!AX5)</f>
        <v>0</v>
      </c>
      <c r="AY5">
        <f>SUM('p1:p4'!AY5)</f>
        <v>0</v>
      </c>
    </row>
    <row r="6" spans="1:52" x14ac:dyDescent="0.2">
      <c r="A6" t="s">
        <v>2</v>
      </c>
      <c r="B6">
        <f>SUM('p1:p4'!B6)</f>
        <v>4</v>
      </c>
      <c r="H6" t="s">
        <v>2</v>
      </c>
      <c r="I6">
        <f>SUM('p1:p4'!I6)</f>
        <v>2</v>
      </c>
      <c r="N6" t="s">
        <v>2</v>
      </c>
      <c r="O6">
        <f>SUM('p1:p4'!O6)</f>
        <v>3</v>
      </c>
      <c r="P6" s="5"/>
      <c r="U6" s="4" t="s">
        <v>2</v>
      </c>
      <c r="V6">
        <f>SUM('p1:p4'!V6)</f>
        <v>1</v>
      </c>
      <c r="AB6" t="s">
        <v>2</v>
      </c>
      <c r="AC6">
        <f>SUM('p1:p4'!AC6)</f>
        <v>2</v>
      </c>
      <c r="AH6" t="s">
        <v>2</v>
      </c>
      <c r="AI6">
        <f>SUM('p1:p4'!AI6)</f>
        <v>2</v>
      </c>
      <c r="AJ6" s="5"/>
      <c r="AL6" s="33">
        <v>12</v>
      </c>
      <c r="AM6" s="34">
        <f>SUM(SkottSpelare!153:153,SkottSpelare!157:157,SkottSpelare!161:161)</f>
        <v>1</v>
      </c>
      <c r="AN6" s="34">
        <f>SUM(SkottSpelare!154:154,SkottSpelare!158:158,SkottSpelare!162:162)</f>
        <v>2</v>
      </c>
      <c r="AO6" s="34">
        <f>SUM(SkottSpelare!155:155,SkottSpelare!159:159,SkottSpelare!163:163)</f>
        <v>3</v>
      </c>
      <c r="AP6" s="34">
        <f>SUM(SkottSpelare!156:156,SkottSpelare!160:160,SkottSpelare!164:164)</f>
        <v>0</v>
      </c>
      <c r="AQ6" s="36">
        <f>SUM(AM6/(AM6+AN6+AO6))</f>
        <v>0.16666666666666666</v>
      </c>
      <c r="AR6" s="36">
        <f>SUM(AP6/(AO6+AN6+AM6))</f>
        <v>0</v>
      </c>
      <c r="AS6" s="13">
        <f>SUM('p1:p4'!AS6)</f>
        <v>0</v>
      </c>
      <c r="AT6" s="13">
        <f>SUM('p1:p4'!AT6)</f>
        <v>11</v>
      </c>
      <c r="AU6">
        <f>SUM('p1:p4'!AU6)</f>
        <v>1</v>
      </c>
      <c r="AV6">
        <f>SUM('p1:p4'!AV6)</f>
        <v>2</v>
      </c>
      <c r="AW6" s="13">
        <f>SUM('p1:p4'!AW6)</f>
        <v>15</v>
      </c>
      <c r="AX6" s="13">
        <f>SUM('p1:p4'!AX6)</f>
        <v>1</v>
      </c>
      <c r="AY6">
        <f>SUM('p1:p4'!AY6)</f>
        <v>5</v>
      </c>
    </row>
    <row r="7" spans="1:52" x14ac:dyDescent="0.2">
      <c r="A7" s="17" t="s">
        <v>3</v>
      </c>
      <c r="B7">
        <f>SUM('p1:p4'!B7)</f>
        <v>0</v>
      </c>
      <c r="H7" s="17" t="s">
        <v>3</v>
      </c>
      <c r="I7">
        <f>SUM('p1:p4'!I7)</f>
        <v>0</v>
      </c>
      <c r="N7" s="17" t="s">
        <v>3</v>
      </c>
      <c r="O7">
        <f>SUM('p1:p4'!O7)</f>
        <v>0</v>
      </c>
      <c r="P7" s="5"/>
      <c r="U7" s="26" t="s">
        <v>3</v>
      </c>
      <c r="V7">
        <f>SUM('p1:p4'!V7)</f>
        <v>1</v>
      </c>
      <c r="AB7" s="17" t="s">
        <v>3</v>
      </c>
      <c r="AC7">
        <f>SUM('p1:p4'!AC7)</f>
        <v>0</v>
      </c>
      <c r="AH7" s="17" t="s">
        <v>3</v>
      </c>
      <c r="AI7">
        <f>SUM('p1:p4'!AI7)</f>
        <v>0</v>
      </c>
      <c r="AJ7" s="5"/>
      <c r="AL7" s="33">
        <v>10</v>
      </c>
      <c r="AM7" s="34">
        <f>SUM(SkottSpelare!168:168,SkottSpelare!172:172,SkottSpelare!176:176)</f>
        <v>0</v>
      </c>
      <c r="AN7" s="34">
        <f>SUM(SkottSpelare!169:169,SkottSpelare!173:173,SkottSpelare!177:177)</f>
        <v>0</v>
      </c>
      <c r="AO7" s="34">
        <f>SUM(SkottSpelare!170:170,SkottSpelare!174:174,SkottSpelare!178:178)</f>
        <v>0</v>
      </c>
      <c r="AP7" s="34">
        <f>SUM(SkottSpelare!171:171,SkottSpelare!175:175,SkottSpelare!179:179)</f>
        <v>0</v>
      </c>
      <c r="AQ7" s="36" t="e">
        <f>SUM(AM7/(AM7+AN7+AO7))</f>
        <v>#DIV/0!</v>
      </c>
      <c r="AR7" s="36" t="e">
        <f>SUM(AP7/(AO7+AN7+AM7))</f>
        <v>#DIV/0!</v>
      </c>
      <c r="AS7" s="13">
        <f>SUM('p1:p4'!AS7)</f>
        <v>0</v>
      </c>
      <c r="AT7">
        <f>SUM('p1:p4'!AT7)</f>
        <v>0</v>
      </c>
      <c r="AU7">
        <f>SUM('p1:p4'!AU7)</f>
        <v>0</v>
      </c>
      <c r="AV7">
        <f>SUM('p1:p4'!AV7)</f>
        <v>0</v>
      </c>
      <c r="AW7" s="13">
        <f>SUM('p1:p4'!AW7)</f>
        <v>0</v>
      </c>
      <c r="AX7">
        <f>SUM('p1:p4'!AX7)</f>
        <v>0</v>
      </c>
      <c r="AY7">
        <f>SUM('p1:p4'!AY7)</f>
        <v>0</v>
      </c>
    </row>
    <row r="8" spans="1:52" x14ac:dyDescent="0.2">
      <c r="A8" s="90">
        <v>7.4999999999999997E-2</v>
      </c>
      <c r="B8" s="91">
        <f>SUM(B9:B11)</f>
        <v>11</v>
      </c>
      <c r="C8" s="91">
        <f>SUM(A8*B8)</f>
        <v>0.82499999999999996</v>
      </c>
      <c r="D8" s="20"/>
      <c r="E8" s="20"/>
      <c r="F8" s="92">
        <v>0.09</v>
      </c>
      <c r="G8" s="91">
        <f>SUM(G9:G11)</f>
        <v>23</v>
      </c>
      <c r="H8" s="91">
        <f>SUM(F8*G8)</f>
        <v>2.0699999999999998</v>
      </c>
      <c r="I8" s="20"/>
      <c r="J8" s="20"/>
      <c r="K8" s="20"/>
      <c r="L8" s="20"/>
      <c r="M8" s="20"/>
      <c r="N8" s="92">
        <v>7.9000000000000001E-2</v>
      </c>
      <c r="O8" s="91">
        <f>SUM(O9:O11)</f>
        <v>21</v>
      </c>
      <c r="P8" s="93">
        <f>SUM(N8*O8)</f>
        <v>1.659</v>
      </c>
      <c r="U8" s="90">
        <v>7.4999999999999997E-2</v>
      </c>
      <c r="V8" s="91">
        <f>SUM(V9:V11)</f>
        <v>5</v>
      </c>
      <c r="W8" s="91">
        <f>SUM(U8*V8)</f>
        <v>0.375</v>
      </c>
      <c r="X8" s="20"/>
      <c r="Y8" s="20"/>
      <c r="Z8" s="92">
        <v>0.09</v>
      </c>
      <c r="AA8" s="91">
        <f>SUM(AA9:AA11)</f>
        <v>9</v>
      </c>
      <c r="AB8" s="91">
        <f>SUM(Z8*AA8)</f>
        <v>0.80999999999999994</v>
      </c>
      <c r="AC8" s="20"/>
      <c r="AD8" s="20"/>
      <c r="AE8" s="20"/>
      <c r="AF8" s="20"/>
      <c r="AG8" s="20"/>
      <c r="AH8" s="92">
        <v>7.9000000000000001E-2</v>
      </c>
      <c r="AI8" s="91">
        <f>SUM(AI9:AI11)</f>
        <v>5</v>
      </c>
      <c r="AJ8" s="93">
        <f>SUM(AH8*AI8)</f>
        <v>0.39500000000000002</v>
      </c>
      <c r="AL8" s="33">
        <v>17</v>
      </c>
      <c r="AM8" s="34">
        <f>SUM(SkottSpelare!183:183,SkottSpelare!187:187,SkottSpelare!191:191)</f>
        <v>0</v>
      </c>
      <c r="AN8" s="34">
        <f>SUM(SkottSpelare!184:184,SkottSpelare!188:188,SkottSpelare!192:192)</f>
        <v>4</v>
      </c>
      <c r="AO8" s="34">
        <f>SUM(SkottSpelare!193:193,SkottSpelare!189:189,SkottSpelare!185:185)</f>
        <v>2</v>
      </c>
      <c r="AP8" s="34">
        <f>SUM(SkottSpelare!186:186,SkottSpelare!190:190,SkottSpelare!A194,SkottSpelare!194:194)</f>
        <v>0</v>
      </c>
      <c r="AQ8" s="36">
        <f>SUM(AM8/(AM8+AN8+AO8))</f>
        <v>0</v>
      </c>
      <c r="AR8" s="36">
        <f>SUM(AP8/(AO8+AN8+AM8))</f>
        <v>0</v>
      </c>
      <c r="AS8" s="13">
        <f>SUM('p1:p4'!AS8)</f>
        <v>0</v>
      </c>
      <c r="AT8" s="13">
        <f>SUM('p1:p4'!AT8)</f>
        <v>1</v>
      </c>
      <c r="AU8">
        <f>SUM('p1:p4'!AU8)</f>
        <v>3</v>
      </c>
      <c r="AV8">
        <f>SUM('p1:p4'!AV8)</f>
        <v>2</v>
      </c>
      <c r="AW8" s="13">
        <f>SUM('p1:p4'!AW8)</f>
        <v>7</v>
      </c>
      <c r="AX8" s="13">
        <f>SUM('p1:p4'!AX8)</f>
        <v>1</v>
      </c>
      <c r="AY8">
        <f>SUM('p1:p4'!AY8)</f>
        <v>0</v>
      </c>
    </row>
    <row r="9" spans="1:52" x14ac:dyDescent="0.2">
      <c r="A9" t="s">
        <v>0</v>
      </c>
      <c r="B9">
        <f>SUM('p1:p4'!B9)</f>
        <v>6</v>
      </c>
      <c r="F9" t="s">
        <v>0</v>
      </c>
      <c r="G9">
        <f>SUM('p1:p4'!G9)</f>
        <v>8</v>
      </c>
      <c r="N9" t="s">
        <v>0</v>
      </c>
      <c r="O9">
        <f>SUM('p1:p4'!O9)</f>
        <v>6</v>
      </c>
      <c r="P9" s="5"/>
      <c r="U9" s="4" t="s">
        <v>0</v>
      </c>
      <c r="V9">
        <f>SUM('p1:p4'!V9)</f>
        <v>1</v>
      </c>
      <c r="Z9" t="s">
        <v>0</v>
      </c>
      <c r="AA9">
        <f>SUM('p1:p4'!AA9)</f>
        <v>2</v>
      </c>
      <c r="AH9" t="s">
        <v>0</v>
      </c>
      <c r="AI9">
        <f>SUM('p1:p4'!AI9)</f>
        <v>1</v>
      </c>
      <c r="AJ9" s="5"/>
      <c r="AL9" s="33">
        <v>19</v>
      </c>
      <c r="AM9" s="34">
        <f>SUM(SkottSpelare!198:198,SkottSpelare!202:202,SkottSpelare!206:206)</f>
        <v>0</v>
      </c>
      <c r="AN9" s="34">
        <f>SUM(SkottSpelare!199:199,SkottSpelare!203:203,SkottSpelare!207:207)</f>
        <v>0</v>
      </c>
      <c r="AO9" s="34">
        <f>SUM(SkottSpelare!208:208,SkottSpelare!204:204,SkottSpelare!200:200)</f>
        <v>0</v>
      </c>
      <c r="AP9" s="34">
        <f>SUM(SkottSpelare!201:201,SkottSpelare!205:205,SkottSpelare!209:209)</f>
        <v>0</v>
      </c>
      <c r="AQ9" s="36" t="e">
        <f t="shared" si="0"/>
        <v>#DIV/0!</v>
      </c>
      <c r="AR9" s="36" t="e">
        <f t="shared" si="1"/>
        <v>#DIV/0!</v>
      </c>
      <c r="AS9" s="13">
        <f>SUM('p1:p4'!AS9)</f>
        <v>0</v>
      </c>
      <c r="AT9">
        <f>SUM('p1:p4'!AT9)</f>
        <v>0</v>
      </c>
      <c r="AU9">
        <f>SUM('p1:p4'!AU9)</f>
        <v>0</v>
      </c>
      <c r="AV9">
        <f>SUM('p1:p4'!AV9)</f>
        <v>0</v>
      </c>
      <c r="AW9" s="13">
        <f>SUM('p1:p4'!AW9)</f>
        <v>0</v>
      </c>
      <c r="AX9">
        <f>SUM('p1:p4'!AX9)</f>
        <v>0</v>
      </c>
      <c r="AY9">
        <f>SUM('p1:p4'!AY9)</f>
        <v>0</v>
      </c>
    </row>
    <row r="10" spans="1:52" x14ac:dyDescent="0.2">
      <c r="A10" t="s">
        <v>1</v>
      </c>
      <c r="B10">
        <f>SUM('p1:p4'!B10)</f>
        <v>4</v>
      </c>
      <c r="F10" t="s">
        <v>1</v>
      </c>
      <c r="G10">
        <f>SUM('p1:p4'!G10)</f>
        <v>9</v>
      </c>
      <c r="N10" t="s">
        <v>1</v>
      </c>
      <c r="O10">
        <f>SUM('p1:p4'!O10)</f>
        <v>9</v>
      </c>
      <c r="P10" s="5"/>
      <c r="U10" s="4" t="s">
        <v>1</v>
      </c>
      <c r="V10">
        <f>SUM('p1:p4'!V10)</f>
        <v>2</v>
      </c>
      <c r="Z10" t="s">
        <v>1</v>
      </c>
      <c r="AA10">
        <f>SUM('p1:p4'!AA10)</f>
        <v>6</v>
      </c>
      <c r="AH10" t="s">
        <v>1</v>
      </c>
      <c r="AI10">
        <f>SUM('p1:p4'!AI10)</f>
        <v>1</v>
      </c>
      <c r="AJ10" s="5"/>
      <c r="AL10" s="33">
        <v>22</v>
      </c>
      <c r="AM10" s="34">
        <f>SUM(SkottSpelare!213:213,SkottSpelare!217:217,SkottSpelare!221:221)</f>
        <v>0</v>
      </c>
      <c r="AN10" s="34">
        <f>SUM(SkottSpelare!214:214,SkottSpelare!218:218,SkottSpelare!229:229)</f>
        <v>2</v>
      </c>
      <c r="AO10" s="34">
        <f>SUM(SkottSpelare!223:223,SkottSpelare!219:219,SkottSpelare!215:215)</f>
        <v>4</v>
      </c>
      <c r="AP10" s="34">
        <f>SUM(SkottSpelare!216:216,SkottSpelare!220:220,SkottSpelare!224:224)</f>
        <v>0</v>
      </c>
      <c r="AS10" s="13">
        <f>SUM('p1:p4'!AS10)</f>
        <v>2</v>
      </c>
      <c r="AT10" s="13">
        <f>SUM('p1:p4'!AT10)</f>
        <v>13</v>
      </c>
      <c r="AU10">
        <f>SUM('p1:p4'!AU10)</f>
        <v>1</v>
      </c>
      <c r="AV10">
        <f>SUM('p1:p4'!AV10)</f>
        <v>7</v>
      </c>
      <c r="AW10" s="13">
        <f>SUM('p1:p4'!AW10)</f>
        <v>5</v>
      </c>
      <c r="AX10" s="13">
        <f>SUM('p1:p4'!AX10)</f>
        <v>2</v>
      </c>
      <c r="AY10">
        <f>SUM('p1:p4'!AY10)</f>
        <v>3</v>
      </c>
    </row>
    <row r="11" spans="1:52" x14ac:dyDescent="0.2">
      <c r="A11" t="s">
        <v>2</v>
      </c>
      <c r="B11">
        <f>SUM('p1:p4'!B11)</f>
        <v>1</v>
      </c>
      <c r="F11" t="s">
        <v>2</v>
      </c>
      <c r="G11">
        <f>SUM('p1:p4'!G11)</f>
        <v>6</v>
      </c>
      <c r="N11" t="s">
        <v>2</v>
      </c>
      <c r="O11">
        <f>SUM('p1:p4'!O11)</f>
        <v>6</v>
      </c>
      <c r="P11" s="5"/>
      <c r="U11" s="4" t="s">
        <v>2</v>
      </c>
      <c r="V11">
        <f>SUM('p1:p4'!V11)</f>
        <v>2</v>
      </c>
      <c r="Z11" t="s">
        <v>2</v>
      </c>
      <c r="AA11">
        <f>SUM('p1:p4'!AA11)</f>
        <v>1</v>
      </c>
      <c r="AH11" t="s">
        <v>2</v>
      </c>
      <c r="AI11">
        <f>SUM('p1:p4'!AI11)</f>
        <v>3</v>
      </c>
      <c r="AJ11" s="5"/>
      <c r="AL11" s="33">
        <v>23</v>
      </c>
      <c r="AM11" s="34">
        <f>SUM(SkottSpelare!228:228,SkottSpelare!232:232,SkottSpelare!236:236)</f>
        <v>2</v>
      </c>
      <c r="AN11" s="34">
        <f>SUM(SkottSpelare!229:229,SkottSpelare!233:233,SkottSpelare!237:237)</f>
        <v>2</v>
      </c>
      <c r="AO11" s="34">
        <f>SUM(SkottSpelare!238:238,SkottSpelare!234:234,SkottSpelare!230:230)</f>
        <v>2</v>
      </c>
      <c r="AP11" s="34">
        <f>SUM(SkottSpelare!231:231,SkottSpelare!235:235,SkottSpelare!239:239)</f>
        <v>0</v>
      </c>
      <c r="AQ11" s="36">
        <f t="shared" ref="AQ11:AQ19" si="2">SUM(AM11/(AM11+AN11+AO11))</f>
        <v>0.33333333333333331</v>
      </c>
      <c r="AR11" s="36">
        <f t="shared" ref="AR11:AR19" si="3">SUM(AP11/(AO11+AN11+AM11))</f>
        <v>0</v>
      </c>
      <c r="AS11" s="13">
        <f>SUM('p1:p4'!AS11)</f>
        <v>0</v>
      </c>
      <c r="AT11">
        <f>SUM('p1:p4'!AT11)</f>
        <v>5</v>
      </c>
      <c r="AU11">
        <f>SUM('p1:p4'!AU11)</f>
        <v>1</v>
      </c>
      <c r="AV11">
        <f>SUM('p1:p4'!AV11)</f>
        <v>5</v>
      </c>
      <c r="AW11" s="13">
        <f>SUM('p1:p4'!AW11)</f>
        <v>9</v>
      </c>
      <c r="AX11">
        <f>SUM('p1:p4'!AX11)</f>
        <v>0</v>
      </c>
      <c r="AY11">
        <f>SUM('p1:p4'!AY11)</f>
        <v>7</v>
      </c>
    </row>
    <row r="12" spans="1:52" x14ac:dyDescent="0.2">
      <c r="A12" s="17" t="s">
        <v>3</v>
      </c>
      <c r="B12">
        <f>SUM('p1:p4'!B12)</f>
        <v>1</v>
      </c>
      <c r="F12" s="17" t="s">
        <v>3</v>
      </c>
      <c r="G12">
        <f>SUM('p1:p4'!G12)</f>
        <v>4</v>
      </c>
      <c r="N12" s="17" t="s">
        <v>3</v>
      </c>
      <c r="O12">
        <f>SUM('p1:p4'!O12)</f>
        <v>2</v>
      </c>
      <c r="P12" s="5"/>
      <c r="U12" s="26" t="s">
        <v>3</v>
      </c>
      <c r="V12">
        <f>SUM('p1:p4'!V12)</f>
        <v>0</v>
      </c>
      <c r="Z12" s="17" t="s">
        <v>3</v>
      </c>
      <c r="AA12">
        <f>SUM('p1:p4'!AA12)</f>
        <v>2</v>
      </c>
      <c r="AH12" s="17" t="s">
        <v>3</v>
      </c>
      <c r="AI12">
        <f>SUM('p1:p4'!AI12)</f>
        <v>0</v>
      </c>
      <c r="AJ12" s="5"/>
      <c r="AL12" s="33">
        <v>24</v>
      </c>
      <c r="AM12" s="34">
        <f>SUM(SkottSpelare!243:243,SkottSpelare!247:247,SkottSpelare!251:251)</f>
        <v>0</v>
      </c>
      <c r="AN12" s="34">
        <f>SUM(SkottSpelare!244:244,SkottSpelare!248:248,SkottSpelare!252:252)</f>
        <v>0</v>
      </c>
      <c r="AO12" s="34">
        <f>SUM(SkottSpelare!253:253,SkottSpelare!249:249,SkottSpelare!245:245)</f>
        <v>0</v>
      </c>
      <c r="AP12" s="34">
        <f>SUM(SkottSpelare!246:246,SkottSpelare!250:250,SkottSpelare!254:254)</f>
        <v>0</v>
      </c>
      <c r="AQ12" s="36" t="e">
        <f>SUM(AM12/(AM12+AN12+AO12))</f>
        <v>#DIV/0!</v>
      </c>
      <c r="AR12" s="36" t="e">
        <f>SUM(AP12/(AO12+AN12+AM12))</f>
        <v>#DIV/0!</v>
      </c>
      <c r="AS12" s="13">
        <f>SUM('p1:p4'!AS12)</f>
        <v>0</v>
      </c>
      <c r="AT12" s="13">
        <f>SUM('p1:p4'!AT12)</f>
        <v>0</v>
      </c>
      <c r="AU12">
        <f>SUM('p1:p4'!AU12)</f>
        <v>0</v>
      </c>
      <c r="AV12">
        <f>SUM('p1:p4'!AV12)</f>
        <v>0</v>
      </c>
      <c r="AW12" s="13">
        <f>SUM('p1:p4'!AW12)</f>
        <v>0</v>
      </c>
      <c r="AX12" s="13">
        <f>SUM('p1:p4'!AX12)</f>
        <v>0</v>
      </c>
      <c r="AY12">
        <f>SUM('p1:p4'!AY12)</f>
        <v>0</v>
      </c>
    </row>
    <row r="13" spans="1:52" x14ac:dyDescent="0.2">
      <c r="A13" s="90">
        <v>0.03</v>
      </c>
      <c r="B13" s="91">
        <f>SUM(B14:B16)</f>
        <v>1</v>
      </c>
      <c r="C13" s="91">
        <f>SUM(A13*B13)</f>
        <v>0.03</v>
      </c>
      <c r="D13" s="20"/>
      <c r="E13" s="92">
        <v>3.9E-2</v>
      </c>
      <c r="F13" s="91">
        <f>SUM(F14:F16)</f>
        <v>4</v>
      </c>
      <c r="G13" s="91">
        <f>SUM(E13*F13)</f>
        <v>0.156</v>
      </c>
      <c r="H13" s="10"/>
      <c r="I13" s="20"/>
      <c r="J13" s="92">
        <v>3.6999999999999998E-2</v>
      </c>
      <c r="K13" s="91">
        <f>SUM(K14:K16)</f>
        <v>6</v>
      </c>
      <c r="L13" s="91">
        <f>SUM(J13*K13)</f>
        <v>0.22199999999999998</v>
      </c>
      <c r="M13" s="10"/>
      <c r="N13" s="92">
        <v>3.9E-2</v>
      </c>
      <c r="O13" s="91">
        <f>SUM(O14:O16)</f>
        <v>1</v>
      </c>
      <c r="P13" s="91">
        <f>SUM(N13*O13)</f>
        <v>3.9E-2</v>
      </c>
      <c r="U13" s="90">
        <v>0.03</v>
      </c>
      <c r="V13" s="91">
        <f>SUM(V14:V16)</f>
        <v>4</v>
      </c>
      <c r="W13" s="91">
        <f>SUM(U13*V13)</f>
        <v>0.12</v>
      </c>
      <c r="X13" s="20"/>
      <c r="Y13" s="92">
        <v>3.9E-2</v>
      </c>
      <c r="Z13" s="91">
        <f>SUM(Z14:Z16)</f>
        <v>1</v>
      </c>
      <c r="AA13" s="91">
        <f>SUM(Y13*Z13)</f>
        <v>3.9E-2</v>
      </c>
      <c r="AB13" s="10"/>
      <c r="AC13" s="20"/>
      <c r="AD13" s="92">
        <v>3.6999999999999998E-2</v>
      </c>
      <c r="AE13" s="91">
        <f>SUM(AE14:AE16)</f>
        <v>4</v>
      </c>
      <c r="AF13" s="91">
        <f>SUM(AD13*AE13)</f>
        <v>0.14799999999999999</v>
      </c>
      <c r="AG13" s="10"/>
      <c r="AH13" s="92">
        <v>3.9E-2</v>
      </c>
      <c r="AI13" s="91">
        <f>SUM(AI14:AI16)</f>
        <v>0</v>
      </c>
      <c r="AJ13" s="91">
        <f>SUM(AH13*AI13)</f>
        <v>0</v>
      </c>
      <c r="AL13" s="33">
        <v>25</v>
      </c>
      <c r="AM13" s="34">
        <f>SUM(SkottSpelare!258:258,SkottSpelare!262:262,SkottSpelare!266:266)</f>
        <v>0</v>
      </c>
      <c r="AN13" s="34">
        <f>SUM(SkottSpelare!259:259,SkottSpelare!263:263,SkottSpelare!267:267)</f>
        <v>0</v>
      </c>
      <c r="AO13" s="34">
        <f>SUM(SkottSpelare!268:268,SkottSpelare!264:264,SkottSpelare!260:260)</f>
        <v>0</v>
      </c>
      <c r="AP13" s="34">
        <f>SUM(SkottSpelare!261:261,SkottSpelare!265:265,SkottSpelare!269:269)</f>
        <v>0</v>
      </c>
      <c r="AQ13" s="36" t="e">
        <f>SUM(AM13/(AM13+AN13+AO13))</f>
        <v>#DIV/0!</v>
      </c>
      <c r="AR13" s="36" t="e">
        <f>SUM(AP13/(AO13+AN13+AM13))</f>
        <v>#DIV/0!</v>
      </c>
      <c r="AS13" s="13">
        <f>SUM('p1:p4'!AS13)</f>
        <v>0</v>
      </c>
      <c r="AT13">
        <f>SUM('p1:p4'!AT13)</f>
        <v>0</v>
      </c>
      <c r="AU13">
        <f>SUM('p1:p4'!AU13)</f>
        <v>0</v>
      </c>
      <c r="AV13">
        <f>SUM('p1:p4'!AV13)</f>
        <v>0</v>
      </c>
      <c r="AW13" s="13">
        <f>SUM('p1:p4'!AW13)</f>
        <v>0</v>
      </c>
      <c r="AX13">
        <f>SUM('p1:p4'!AX13)</f>
        <v>0</v>
      </c>
      <c r="AY13">
        <f>SUM('p1:p4'!AY13)</f>
        <v>0</v>
      </c>
    </row>
    <row r="14" spans="1:52" x14ac:dyDescent="0.2">
      <c r="A14" t="s">
        <v>0</v>
      </c>
      <c r="B14">
        <f>SUM('p1:p4'!B14)</f>
        <v>0</v>
      </c>
      <c r="C14" s="14"/>
      <c r="E14" t="s">
        <v>0</v>
      </c>
      <c r="F14">
        <f>SUM('p1:p4'!F14)</f>
        <v>0</v>
      </c>
      <c r="H14" s="14"/>
      <c r="J14" t="s">
        <v>0</v>
      </c>
      <c r="K14">
        <f>SUM('p1:p4'!K14)</f>
        <v>1</v>
      </c>
      <c r="N14" s="13" t="s">
        <v>0</v>
      </c>
      <c r="O14">
        <f>SUM('p1:p4'!O14)</f>
        <v>0</v>
      </c>
      <c r="P14" s="5"/>
      <c r="U14" s="4" t="s">
        <v>0</v>
      </c>
      <c r="V14">
        <f>SUM('p1:p4'!V14)</f>
        <v>2</v>
      </c>
      <c r="W14" s="14"/>
      <c r="Y14" t="s">
        <v>0</v>
      </c>
      <c r="Z14">
        <f>SUM('p1:p4'!Z14)</f>
        <v>0</v>
      </c>
      <c r="AB14" s="14"/>
      <c r="AD14" t="s">
        <v>0</v>
      </c>
      <c r="AE14">
        <f>SUM('p1:p4'!AE14)</f>
        <v>1</v>
      </c>
      <c r="AH14" s="13" t="s">
        <v>0</v>
      </c>
      <c r="AI14">
        <f>SUM('p1:p4'!AI14)</f>
        <v>0</v>
      </c>
      <c r="AJ14" s="5"/>
      <c r="AL14" s="33">
        <v>27</v>
      </c>
      <c r="AM14" s="34">
        <f>SUM(SkottSpelare!273:273,SkottSpelare!277:277,SkottSpelare!281:281)</f>
        <v>6</v>
      </c>
      <c r="AN14" s="34">
        <f>SUM(SkottSpelare!274:274,SkottSpelare!278:278,SkottSpelare!282:282)</f>
        <v>1</v>
      </c>
      <c r="AO14" s="34">
        <f>SUM(SkottSpelare!283:283,SkottSpelare!279:279,SkottSpelare!275:275)</f>
        <v>3</v>
      </c>
      <c r="AP14" s="34">
        <f>SUM(SkottSpelare!276:276,SkottSpelare!280:280,SkottSpelare!284:284)</f>
        <v>2</v>
      </c>
      <c r="AQ14" s="36">
        <f>SUM(AM14/(AM14+AN14+AO14))</f>
        <v>0.6</v>
      </c>
      <c r="AR14" s="36">
        <f>SUM(AP14/(AO14+AN14+AM14))</f>
        <v>0.2</v>
      </c>
      <c r="AS14" s="13">
        <f>SUM('p1:p4'!AS14)</f>
        <v>0</v>
      </c>
      <c r="AT14" s="13">
        <f>SUM('p1:p4'!AT14)</f>
        <v>10</v>
      </c>
      <c r="AU14">
        <f>SUM('p1:p4'!AU14)</f>
        <v>2</v>
      </c>
      <c r="AV14">
        <f>SUM('p1:p4'!AV14)</f>
        <v>12</v>
      </c>
      <c r="AW14" s="13">
        <f>SUM('p1:p4'!AW14)</f>
        <v>9</v>
      </c>
      <c r="AX14" s="13">
        <f>SUM('p1:p4'!AX14)</f>
        <v>2</v>
      </c>
      <c r="AY14">
        <f>SUM('p1:p4'!AY14)</f>
        <v>10</v>
      </c>
    </row>
    <row r="15" spans="1:52" x14ac:dyDescent="0.2">
      <c r="A15" t="s">
        <v>1</v>
      </c>
      <c r="B15">
        <f>SUM('p1:p4'!B15)</f>
        <v>0</v>
      </c>
      <c r="C15" s="14"/>
      <c r="E15" t="s">
        <v>1</v>
      </c>
      <c r="F15">
        <f>SUM('p1:p4'!F15)</f>
        <v>2</v>
      </c>
      <c r="H15" s="14"/>
      <c r="J15" t="s">
        <v>1</v>
      </c>
      <c r="K15">
        <f>SUM('p1:p4'!K15)</f>
        <v>2</v>
      </c>
      <c r="N15" s="13" t="s">
        <v>1</v>
      </c>
      <c r="O15">
        <f>SUM('p1:p4'!O15)</f>
        <v>1</v>
      </c>
      <c r="P15" s="5"/>
      <c r="U15" s="4" t="s">
        <v>1</v>
      </c>
      <c r="V15">
        <f>SUM('p1:p4'!V15)</f>
        <v>2</v>
      </c>
      <c r="W15" s="14"/>
      <c r="Y15" t="s">
        <v>1</v>
      </c>
      <c r="Z15">
        <f>SUM('p1:p4'!Z15)</f>
        <v>0</v>
      </c>
      <c r="AB15" s="14"/>
      <c r="AD15" t="s">
        <v>1</v>
      </c>
      <c r="AE15">
        <f>SUM('p1:p4'!AE15)</f>
        <v>2</v>
      </c>
      <c r="AH15" s="13" t="s">
        <v>1</v>
      </c>
      <c r="AI15">
        <f>SUM('p1:p4'!AI15)</f>
        <v>0</v>
      </c>
      <c r="AJ15" s="5"/>
      <c r="AL15" s="33">
        <v>28</v>
      </c>
      <c r="AM15" s="34">
        <f>SUM(SkottSpelare!288:288,SkottSpelare!292:292,SkottSpelare!296:296)</f>
        <v>2</v>
      </c>
      <c r="AN15" s="34">
        <f>SUM(SkottSpelare!289:289,SkottSpelare!293:293,SkottSpelare!297:297)</f>
        <v>5</v>
      </c>
      <c r="AO15" s="34">
        <f>SUM(SkottSpelare!298:298,SkottSpelare!294:294,SkottSpelare!290:290)</f>
        <v>1</v>
      </c>
      <c r="AP15" s="34">
        <f>SUM(SkottSpelare!291:291,SkottSpelare!295:295,SkottSpelare!299:299)</f>
        <v>1</v>
      </c>
      <c r="AQ15" s="36">
        <f t="shared" si="2"/>
        <v>0.25</v>
      </c>
      <c r="AR15" s="36">
        <f t="shared" si="3"/>
        <v>0.125</v>
      </c>
      <c r="AS15" s="13">
        <f>SUM('p1:p4'!AS15)</f>
        <v>1</v>
      </c>
      <c r="AT15">
        <f>SUM('p1:p4'!AT15)</f>
        <v>1</v>
      </c>
      <c r="AU15">
        <f>SUM('p1:p4'!AU15)</f>
        <v>2</v>
      </c>
      <c r="AV15">
        <f>SUM('p1:p4'!AV15)</f>
        <v>6</v>
      </c>
      <c r="AW15" s="13">
        <f>SUM('p1:p4'!AW15)</f>
        <v>8</v>
      </c>
      <c r="AX15">
        <f>SUM('p1:p4'!AX15)</f>
        <v>0</v>
      </c>
      <c r="AY15">
        <f>SUM('p1:p4'!AY15)</f>
        <v>2</v>
      </c>
    </row>
    <row r="16" spans="1:52" x14ac:dyDescent="0.2">
      <c r="A16" t="s">
        <v>2</v>
      </c>
      <c r="B16">
        <f>SUM('p1:p4'!B16)</f>
        <v>1</v>
      </c>
      <c r="C16" s="14"/>
      <c r="E16" t="s">
        <v>2</v>
      </c>
      <c r="F16">
        <f>SUM('p1:p4'!F16)</f>
        <v>2</v>
      </c>
      <c r="H16" s="14"/>
      <c r="J16" t="s">
        <v>2</v>
      </c>
      <c r="K16">
        <f>SUM('p1:p4'!K16)</f>
        <v>3</v>
      </c>
      <c r="N16" s="13" t="s">
        <v>2</v>
      </c>
      <c r="O16">
        <f>SUM('p1:p4'!O16)</f>
        <v>0</v>
      </c>
      <c r="P16" s="5"/>
      <c r="U16" s="4" t="s">
        <v>2</v>
      </c>
      <c r="V16">
        <f>SUM('p1:p4'!V16)</f>
        <v>0</v>
      </c>
      <c r="W16" s="14"/>
      <c r="Y16" t="s">
        <v>2</v>
      </c>
      <c r="Z16">
        <f>SUM('p1:p4'!Z16)</f>
        <v>1</v>
      </c>
      <c r="AB16" s="14"/>
      <c r="AD16" t="s">
        <v>2</v>
      </c>
      <c r="AE16">
        <f>SUM('p1:p4'!AE16)</f>
        <v>1</v>
      </c>
      <c r="AH16" s="13" t="s">
        <v>2</v>
      </c>
      <c r="AI16">
        <f>SUM('p1:p4'!AI16)</f>
        <v>0</v>
      </c>
      <c r="AJ16" s="5"/>
      <c r="AL16" s="33">
        <v>20</v>
      </c>
      <c r="AM16" s="34">
        <f>SUM(SkottSpelare!303:303,SkottSpelare!307:307,SkottSpelare!311:311)</f>
        <v>2</v>
      </c>
      <c r="AN16" s="34">
        <f>SUM(SkottSpelare!304:304,SkottSpelare!308:308,SkottSpelare!312:312)</f>
        <v>3</v>
      </c>
      <c r="AO16" s="34">
        <f>SUM(SkottSpelare!313:313,SkottSpelare!309:309,SkottSpelare!305:305)</f>
        <v>2</v>
      </c>
      <c r="AP16" s="34">
        <f>SUM(SkottSpelare!306:306,SkottSpelare!310:310,SkottSpelare!314:314)</f>
        <v>1</v>
      </c>
      <c r="AQ16" s="36">
        <f>SUM(AM16/(AM16+AN16+AO16))</f>
        <v>0.2857142857142857</v>
      </c>
      <c r="AR16" s="36">
        <f>SUM(AP16/(AO16+AN16+AM16))</f>
        <v>0.14285714285714285</v>
      </c>
      <c r="AS16" s="13">
        <f>SUM('p1:p4'!AS16)</f>
        <v>2</v>
      </c>
      <c r="AT16" s="13">
        <f>SUM('p1:p4'!AT16)</f>
        <v>6</v>
      </c>
      <c r="AU16">
        <f>SUM('p1:p4'!AU16)</f>
        <v>1</v>
      </c>
      <c r="AV16">
        <f>SUM('p1:p4'!AV16)</f>
        <v>4</v>
      </c>
      <c r="AW16" s="13">
        <f>SUM('p1:p4'!AW16)</f>
        <v>5</v>
      </c>
      <c r="AX16" s="13">
        <f>SUM('p1:p4'!AX16)</f>
        <v>1</v>
      </c>
      <c r="AY16">
        <f>SUM('p1:p4'!AY16)</f>
        <v>0</v>
      </c>
    </row>
    <row r="17" spans="1:51" x14ac:dyDescent="0.2">
      <c r="A17" t="s">
        <v>3</v>
      </c>
      <c r="B17">
        <f>SUM('p1:p4'!B17)</f>
        <v>0</v>
      </c>
      <c r="C17" s="14"/>
      <c r="E17" t="s">
        <v>3</v>
      </c>
      <c r="F17">
        <f>SUM('p1:p4'!F17)</f>
        <v>0</v>
      </c>
      <c r="H17" s="14"/>
      <c r="J17" t="s">
        <v>3</v>
      </c>
      <c r="K17">
        <f>SUM('p1:p4'!K17)</f>
        <v>1</v>
      </c>
      <c r="N17" s="13" t="s">
        <v>3</v>
      </c>
      <c r="O17">
        <f>SUM('p1:p4'!O17)</f>
        <v>0</v>
      </c>
      <c r="P17" s="5"/>
      <c r="U17" s="4" t="s">
        <v>3</v>
      </c>
      <c r="V17">
        <f>SUM('p1:p4'!V17)</f>
        <v>0</v>
      </c>
      <c r="W17" s="14"/>
      <c r="Y17" t="s">
        <v>3</v>
      </c>
      <c r="Z17">
        <f>SUM('p1:p4'!Z17)</f>
        <v>0</v>
      </c>
      <c r="AB17" s="14"/>
      <c r="AD17" t="s">
        <v>3</v>
      </c>
      <c r="AE17">
        <f>SUM('p1:p4'!AE17)</f>
        <v>0</v>
      </c>
      <c r="AH17" s="13" t="s">
        <v>3</v>
      </c>
      <c r="AI17">
        <f>SUM('p1:p4'!AI17)</f>
        <v>0</v>
      </c>
      <c r="AJ17" s="5"/>
      <c r="AL17" s="33">
        <v>21</v>
      </c>
      <c r="AM17" s="34">
        <f>SUM(SkottSpelare!318:318,SkottSpelare!322:322,SkottSpelare!326:326)</f>
        <v>3</v>
      </c>
      <c r="AN17" s="34">
        <f>SUM(SkottSpelare!319:319,SkottSpelare!323:323,SkottSpelare!327:327)</f>
        <v>3</v>
      </c>
      <c r="AO17" s="34">
        <f>SUM(SkottSpelare!328:328,SkottSpelare!324:324,SkottSpelare!320:320)</f>
        <v>3</v>
      </c>
      <c r="AP17" s="34">
        <f>SUM(SkottSpelare!321:321,SkottSpelare!325:325,SkottSpelare!329:329)</f>
        <v>1</v>
      </c>
      <c r="AQ17" s="36">
        <f>SUM(AM17/(AM17+AN17+AO17))</f>
        <v>0.33333333333333331</v>
      </c>
      <c r="AR17" s="36">
        <f>SUM(AP17/(AO17+AN17+AM17))</f>
        <v>0.1111111111111111</v>
      </c>
      <c r="AS17" s="13">
        <f>SUM('p1:p4'!AS17)</f>
        <v>1</v>
      </c>
      <c r="AT17">
        <f>SUM('p1:p4'!AT17)</f>
        <v>11</v>
      </c>
      <c r="AU17">
        <f>SUM('p1:p4'!AU17)</f>
        <v>6</v>
      </c>
      <c r="AV17">
        <f>SUM('p1:p4'!AV17)</f>
        <v>5</v>
      </c>
      <c r="AW17" s="13">
        <f>SUM('p1:p4'!AW17)</f>
        <v>14</v>
      </c>
      <c r="AX17">
        <f>SUM('p1:p4'!AX17)</f>
        <v>1</v>
      </c>
      <c r="AY17">
        <f>SUM('p1:p4'!AY17)</f>
        <v>8</v>
      </c>
    </row>
    <row r="18" spans="1:51" x14ac:dyDescent="0.2">
      <c r="A18" s="4"/>
      <c r="C18" s="14"/>
      <c r="H18" s="14"/>
      <c r="N18" s="13"/>
      <c r="P18" s="5"/>
      <c r="U18" s="4"/>
      <c r="W18" s="14"/>
      <c r="AB18" s="14"/>
      <c r="AH18" s="13"/>
      <c r="AJ18" s="5"/>
      <c r="AL18" s="33">
        <v>39</v>
      </c>
      <c r="AM18" s="34">
        <f>SUM(SkottSpelare!333:333,SkottSpelare!337:337,SkottSpelare!341:341)</f>
        <v>2</v>
      </c>
      <c r="AN18" s="34">
        <f>SUM(SkottSpelare!334:334,SkottSpelare!338:338,SkottSpelare!342:342)</f>
        <v>2</v>
      </c>
      <c r="AO18" s="34">
        <f>SUM(SkottSpelare!335:335,SkottSpelare!339:339,SkottSpelare!343:343)</f>
        <v>1</v>
      </c>
      <c r="AP18" s="34">
        <f>SUM(SkottSpelare!336:336,SkottSpelare!340:340,SkottSpelare!344:344)</f>
        <v>1</v>
      </c>
      <c r="AQ18" s="36">
        <f>SUM(AM18/(AM18+AN18+AO18))</f>
        <v>0.4</v>
      </c>
      <c r="AR18" s="36">
        <f>SUM(AP18/(AO18+AN18+AM18))</f>
        <v>0.2</v>
      </c>
      <c r="AS18" s="13">
        <f>SUM('p1:p4'!AS18)</f>
        <v>2</v>
      </c>
      <c r="AT18" s="13">
        <f>SUM('p1:p4'!AT18)</f>
        <v>8</v>
      </c>
      <c r="AU18">
        <f>SUM('p1:p4'!AU18)</f>
        <v>0</v>
      </c>
      <c r="AV18">
        <f>SUM('p1:p4'!AV18)</f>
        <v>9</v>
      </c>
      <c r="AW18" s="13">
        <f>SUM('p1:p4'!AW18)</f>
        <v>4</v>
      </c>
      <c r="AX18" s="13">
        <f>SUM('p1:p4'!AX18)</f>
        <v>3</v>
      </c>
      <c r="AY18">
        <f>SUM('p1:p4'!AY18)</f>
        <v>6</v>
      </c>
    </row>
    <row r="19" spans="1:51" ht="17" thickBot="1" x14ac:dyDescent="0.25">
      <c r="A19" s="6"/>
      <c r="B19" s="7"/>
      <c r="C19" s="24"/>
      <c r="D19" s="7"/>
      <c r="E19" s="7"/>
      <c r="F19" s="7"/>
      <c r="G19" s="7"/>
      <c r="H19" s="24"/>
      <c r="I19" s="7"/>
      <c r="J19" s="7"/>
      <c r="K19" s="7"/>
      <c r="L19" s="7"/>
      <c r="M19" s="7"/>
      <c r="N19" s="25"/>
      <c r="O19" s="7"/>
      <c r="P19" s="8"/>
      <c r="U19" s="6"/>
      <c r="V19" s="7"/>
      <c r="W19" s="24"/>
      <c r="X19" s="7"/>
      <c r="Y19" s="7"/>
      <c r="Z19" s="7"/>
      <c r="AA19" s="7"/>
      <c r="AB19" s="24"/>
      <c r="AC19" s="7"/>
      <c r="AD19" s="7"/>
      <c r="AE19" s="7"/>
      <c r="AF19" s="7"/>
      <c r="AG19" s="7"/>
      <c r="AH19" s="25"/>
      <c r="AI19" s="7"/>
      <c r="AJ19" s="8"/>
      <c r="AL19" s="33">
        <v>40</v>
      </c>
      <c r="AM19" s="34">
        <f>SUM(SkottSpelare!348:348,SkottSpelare!352:352,SkottSpelare!356:356)</f>
        <v>2</v>
      </c>
      <c r="AN19" s="34">
        <f>SUM(SkottSpelare!349:349,SkottSpelare!353:353,SkottSpelare!357:357)</f>
        <v>0</v>
      </c>
      <c r="AO19" s="34">
        <f>SUM(SkottSpelare!358:358,SkottSpelare!354:354,SkottSpelare!350:350)</f>
        <v>0</v>
      </c>
      <c r="AP19" s="34">
        <f>SUM(SkottSpelare!351:351,SkottSpelare!355:355,SkottSpelare!359:359)</f>
        <v>0</v>
      </c>
      <c r="AQ19" s="36">
        <f t="shared" si="2"/>
        <v>1</v>
      </c>
      <c r="AR19" s="36">
        <f t="shared" si="3"/>
        <v>0</v>
      </c>
      <c r="AS19" s="13">
        <f>SUM('p1:p4'!AS19)</f>
        <v>1</v>
      </c>
      <c r="AT19">
        <f>SUM('p1:p4'!AT19)</f>
        <v>5</v>
      </c>
      <c r="AU19">
        <f>SUM('p1:p4'!AU19)</f>
        <v>0</v>
      </c>
      <c r="AV19">
        <f>SUM('p1:p4'!AV19)</f>
        <v>6</v>
      </c>
      <c r="AW19" s="13">
        <f>SUM('p1:p4'!AW19)</f>
        <v>3</v>
      </c>
      <c r="AX19">
        <f>SUM('p1:p4'!AX19)</f>
        <v>2</v>
      </c>
      <c r="AY19">
        <f>SUM('p1:p4'!AY19)</f>
        <v>4</v>
      </c>
    </row>
    <row r="20" spans="1:51" x14ac:dyDescent="0.2">
      <c r="A20" s="122" t="s">
        <v>31</v>
      </c>
      <c r="B20" s="122"/>
      <c r="C20" s="122"/>
      <c r="D20" s="122"/>
      <c r="E20">
        <f>SUM(B4:B6,B9:B11,B14:B16,F14:F16,G9:G11,I4:I6,O4:O6,O9:O11,K14:K16,O14:O16)</f>
        <v>81</v>
      </c>
      <c r="U20" s="122" t="s">
        <v>31</v>
      </c>
      <c r="V20" s="122"/>
      <c r="W20" s="122"/>
      <c r="X20" s="122"/>
      <c r="Y20">
        <f>SUM(V4:V6,V9:V11,V14:V16,Z14:Z16,AA9:AA11,AC4:AC6,AI4:AI6,AI9:AI11,AE14:AE16,AI14:AI16)</f>
        <v>37</v>
      </c>
      <c r="AL20" s="33">
        <v>41</v>
      </c>
      <c r="AM20" s="34">
        <f>SUM(SkottSpelare!363:363,SkottSpelare!367:367,SkottSpelare!371:371)</f>
        <v>0</v>
      </c>
      <c r="AN20" s="34">
        <f>SUM(SkottSpelare!364:364,SkottSpelare!368:368,SkottSpelare!372:372)</f>
        <v>0</v>
      </c>
      <c r="AO20" s="34">
        <f>SUM(SkottSpelare!373:373,SkottSpelare!369:369,SkottSpelare!365:365)</f>
        <v>0</v>
      </c>
      <c r="AP20" s="34">
        <f>SUM(SkottSpelare!366:366,SkottSpelare!370:370,SkottSpelare!374:374)</f>
        <v>0</v>
      </c>
      <c r="AS20" s="13">
        <f>SUM('p1:p4'!AS20)</f>
        <v>0</v>
      </c>
      <c r="AT20" s="13">
        <f>SUM('p1:p4'!AT20)</f>
        <v>0</v>
      </c>
      <c r="AU20">
        <f>SUM('p1:p4'!AU20)</f>
        <v>0</v>
      </c>
      <c r="AV20">
        <f>SUM('p1:p4'!AV20)</f>
        <v>0</v>
      </c>
      <c r="AW20" s="13">
        <f>SUM('p1:p4'!AW20)</f>
        <v>0</v>
      </c>
      <c r="AX20" s="13">
        <f>SUM('p1:p4'!AX20)</f>
        <v>0</v>
      </c>
      <c r="AY20">
        <f>SUM('p1:p4'!AY20)</f>
        <v>0</v>
      </c>
    </row>
    <row r="21" spans="1:51" x14ac:dyDescent="0.2">
      <c r="A21" s="27" t="s">
        <v>6</v>
      </c>
      <c r="B21" s="27"/>
      <c r="D21" t="s">
        <v>7</v>
      </c>
      <c r="E21" s="123" t="s">
        <v>8</v>
      </c>
      <c r="F21" s="123"/>
      <c r="G21" s="123"/>
      <c r="H21" t="s">
        <v>7</v>
      </c>
      <c r="J21" s="124"/>
      <c r="K21" s="124"/>
      <c r="L21" s="124"/>
      <c r="M21" s="124"/>
      <c r="P21" s="119" t="s">
        <v>73</v>
      </c>
      <c r="Q21" s="119"/>
      <c r="R21" s="85" t="s">
        <v>15</v>
      </c>
      <c r="S21" s="89" t="s">
        <v>16</v>
      </c>
      <c r="AL21" s="33">
        <v>52</v>
      </c>
      <c r="AM21" s="34">
        <f>SUM(SkottSpelare!378:378,SkottSpelare!382:382,SkottSpelare!386:386)</f>
        <v>0</v>
      </c>
      <c r="AN21" s="34">
        <f>SUM(SkottSpelare!379:379,SkottSpelare!383:383,SkottSpelare!387:387)</f>
        <v>0</v>
      </c>
      <c r="AO21" s="34">
        <f>SUM(SkottSpelare!384:384,SkottSpelare!380:380,SkottSpelare!388:388)</f>
        <v>0</v>
      </c>
      <c r="AP21" s="34">
        <f>SUM(SkottSpelare!381:381,SkottSpelare!385:385,SkottSpelare!389:389)</f>
        <v>0</v>
      </c>
      <c r="AQ21" s="36" t="e">
        <f>SUM(AM21/(AM21+AN21+AO21))</f>
        <v>#DIV/0!</v>
      </c>
      <c r="AR21" s="36" t="e">
        <f>SUM(AP21/(AO21+AN21+AM21))</f>
        <v>#DIV/0!</v>
      </c>
      <c r="AS21" s="13">
        <f>SUM('p1:p4'!AS21)</f>
        <v>2</v>
      </c>
      <c r="AT21">
        <f>SUM('p1:p4'!AT21)</f>
        <v>7</v>
      </c>
      <c r="AU21">
        <f>SUM('p1:p4'!AU21)</f>
        <v>2</v>
      </c>
      <c r="AV21">
        <f>SUM('p1:p4'!AV21)</f>
        <v>1</v>
      </c>
      <c r="AW21" s="13">
        <f>SUM('p1:p4'!AW21)</f>
        <v>16</v>
      </c>
      <c r="AX21">
        <f>SUM('p1:p4'!AX21)</f>
        <v>1</v>
      </c>
      <c r="AY21">
        <f>SUM('p1:p4'!AY21)</f>
        <v>0</v>
      </c>
    </row>
    <row r="22" spans="1:51" x14ac:dyDescent="0.2">
      <c r="A22" s="17" t="s">
        <v>9</v>
      </c>
      <c r="B22" s="17"/>
      <c r="C22" s="18">
        <f>SUM('p1:p4'!C22)</f>
        <v>24</v>
      </c>
      <c r="D22" s="17"/>
      <c r="E22" s="17" t="s">
        <v>9</v>
      </c>
      <c r="F22" s="17"/>
      <c r="G22" s="18">
        <f>SUM('p1:p4'!G22)</f>
        <v>11</v>
      </c>
      <c r="H22" s="17"/>
      <c r="J22" s="125" t="s">
        <v>19</v>
      </c>
      <c r="K22" s="125"/>
      <c r="L22" s="125"/>
      <c r="M22" s="125"/>
      <c r="N22" s="125"/>
      <c r="O22" s="125"/>
      <c r="Q22">
        <v>24</v>
      </c>
      <c r="R22" s="10"/>
      <c r="T22" s="27" t="s">
        <v>28</v>
      </c>
      <c r="AL22" s="33">
        <v>96</v>
      </c>
      <c r="AM22" s="34">
        <f>SUM(SkottSpelare!393:393,SkottSpelare!397:397,SkottSpelare!401:401)</f>
        <v>1</v>
      </c>
      <c r="AN22" s="34">
        <f>SUM(SkottSpelare!394:394,SkottSpelare!398:398,SkottSpelare!402:402)</f>
        <v>1</v>
      </c>
      <c r="AO22" s="34">
        <f>SUM(SkottSpelare!395:395,SkottSpelare!399:399,SkottSpelare!403:403)</f>
        <v>1</v>
      </c>
      <c r="AP22" s="34">
        <f>SUM(SkottSpelare!396:396,SkottSpelare!400:400,SkottSpelare!404:404)</f>
        <v>1</v>
      </c>
      <c r="AQ22" s="36">
        <f>SUM(AM22/(AM22+AN22+AO22))</f>
        <v>0.33333333333333331</v>
      </c>
      <c r="AR22" s="36">
        <f>SUM(AP22/(AO22+AN22+AM22))</f>
        <v>0.33333333333333331</v>
      </c>
      <c r="AS22" s="13">
        <f>SUM('p1:p4'!AS22)</f>
        <v>0</v>
      </c>
      <c r="AT22" s="13">
        <f>SUM('p1:p4'!AT22)</f>
        <v>4</v>
      </c>
      <c r="AU22">
        <f>SUM('p1:p4'!AU22)</f>
        <v>0</v>
      </c>
      <c r="AV22">
        <f>SUM('p1:p4'!AV22)</f>
        <v>1</v>
      </c>
      <c r="AW22" s="13">
        <f>SUM('p1:p4'!AW22)</f>
        <v>3</v>
      </c>
      <c r="AX22" s="13">
        <f>SUM('p1:p4'!AX22)</f>
        <v>0</v>
      </c>
      <c r="AY22">
        <f>SUM('p1:p4'!AY22)</f>
        <v>1</v>
      </c>
    </row>
    <row r="23" spans="1:51" x14ac:dyDescent="0.2">
      <c r="A23" s="28" t="s">
        <v>10</v>
      </c>
      <c r="B23" s="28"/>
      <c r="C23" s="18">
        <f>SUM('p1:p4'!C23)</f>
        <v>29</v>
      </c>
      <c r="D23" s="28"/>
      <c r="E23" s="28" t="s">
        <v>10</v>
      </c>
      <c r="F23" s="28"/>
      <c r="G23" s="18">
        <f>SUM('p1:p4'!G23)</f>
        <v>13</v>
      </c>
      <c r="H23" s="28"/>
      <c r="J23" s="98" t="s">
        <v>20</v>
      </c>
      <c r="K23" s="99"/>
      <c r="L23" s="98" t="s">
        <v>21</v>
      </c>
      <c r="M23" s="99"/>
      <c r="N23" s="128" t="s">
        <v>22</v>
      </c>
      <c r="O23" s="129"/>
      <c r="Q23">
        <v>8</v>
      </c>
      <c r="R23" s="14"/>
      <c r="T23" s="15" t="s">
        <v>29</v>
      </c>
      <c r="U23" s="16" t="s">
        <v>7</v>
      </c>
      <c r="V23" s="31" t="s">
        <v>15</v>
      </c>
      <c r="W23" s="32"/>
      <c r="X23" s="31" t="s">
        <v>16</v>
      </c>
      <c r="Y23" s="16"/>
      <c r="AL23" s="33">
        <v>43</v>
      </c>
      <c r="AM23" s="34">
        <f>SUM(SkottSpelare!423:423,SkottSpelare!427:427,SkottSpelare!431:431)</f>
        <v>1</v>
      </c>
      <c r="AN23" s="34">
        <f>SUM(SkottSpelare!424:424,SkottSpelare!428:428,SkottSpelare!432:432)</f>
        <v>0</v>
      </c>
      <c r="AO23" s="34">
        <f>SUM(SkottSpelare!425:425,SkottSpelare!429:429,SkottSpelare!433:433)</f>
        <v>2</v>
      </c>
      <c r="AP23" s="34">
        <f>SUM(SkottSpelare!426:426,SkottSpelare!430:430,SkottSpelare!434:434)</f>
        <v>0</v>
      </c>
      <c r="AS23" s="13">
        <f>SUM('p1:p4'!AS23)</f>
        <v>0</v>
      </c>
      <c r="AT23">
        <f>SUM('p1:p4'!AT23)</f>
        <v>7</v>
      </c>
      <c r="AU23">
        <f>SUM('p1:p4'!AU23)</f>
        <v>0</v>
      </c>
      <c r="AV23">
        <f>SUM('p1:p4'!AV23)</f>
        <v>3</v>
      </c>
      <c r="AW23" s="13">
        <f>SUM('p1:p4'!AW23)</f>
        <v>7</v>
      </c>
      <c r="AX23">
        <f>SUM('p1:p4'!AX23)</f>
        <v>0</v>
      </c>
      <c r="AY23">
        <f>SUM('p1:p4'!AY23)</f>
        <v>4</v>
      </c>
    </row>
    <row r="24" spans="1:51" x14ac:dyDescent="0.2">
      <c r="A24" s="28" t="s">
        <v>11</v>
      </c>
      <c r="B24" s="28"/>
      <c r="C24" s="18">
        <f>SUM('p1:p4'!C24)</f>
        <v>28</v>
      </c>
      <c r="D24" s="28"/>
      <c r="E24" s="28" t="s">
        <v>11</v>
      </c>
      <c r="F24" s="28"/>
      <c r="G24" s="18">
        <f>SUM('p1:p4'!G24)</f>
        <v>13</v>
      </c>
      <c r="H24" s="28"/>
      <c r="J24" s="9" t="s">
        <v>27</v>
      </c>
      <c r="K24" s="20">
        <f>SUM('p1:p4'!K24)</f>
        <v>0</v>
      </c>
      <c r="L24" s="9" t="s">
        <v>27</v>
      </c>
      <c r="M24" s="20">
        <f>SUM('p1:p4'!M24)</f>
        <v>0</v>
      </c>
      <c r="N24" s="9" t="s">
        <v>27</v>
      </c>
      <c r="O24" s="10">
        <f>SUM('p1:p4'!O24)</f>
        <v>0</v>
      </c>
      <c r="Q24">
        <v>25</v>
      </c>
      <c r="R24" s="14"/>
      <c r="T24" s="100">
        <f>SUM('p1:p4'!T24:U24)</f>
        <v>12</v>
      </c>
      <c r="U24" s="101"/>
      <c r="V24" s="100">
        <f>SUM('p1:p4'!V24:W24)</f>
        <v>6</v>
      </c>
      <c r="W24" s="101"/>
      <c r="X24" s="100">
        <f>SUM('p1:p4'!X24:Y24)</f>
        <v>6</v>
      </c>
      <c r="Y24" s="101"/>
      <c r="AL24" s="33">
        <v>97</v>
      </c>
      <c r="AM24" s="34">
        <f>SUM(SkottSpelare!408:408,SkottSpelare!412:412,SkottSpelare!416:416)</f>
        <v>0</v>
      </c>
      <c r="AN24" s="34">
        <f>SUM(SkottSpelare!409:409,SkottSpelare!413:413,SkottSpelare!417:417)</f>
        <v>0</v>
      </c>
      <c r="AO24" s="34">
        <f>SUM(SkottSpelare!410:410,SkottSpelare!414:414,SkottSpelare!418:418)</f>
        <v>0</v>
      </c>
      <c r="AP24" s="34">
        <f>SUM(SkottSpelare!411:411,SkottSpelare!415:415,SkottSpelare!419:419)</f>
        <v>0</v>
      </c>
      <c r="AQ24" s="36" t="e">
        <f>SUM(AM24/(AM24+AN24+AO24))</f>
        <v>#DIV/0!</v>
      </c>
      <c r="AR24" s="36" t="e">
        <f>SUM(AP24/(AO24+AN24+AM24))</f>
        <v>#DIV/0!</v>
      </c>
      <c r="AS24" s="13">
        <f>SUM('p1:p4'!AS24)</f>
        <v>0</v>
      </c>
      <c r="AT24" s="13">
        <f>SUM('p1:p4'!AT24)</f>
        <v>0</v>
      </c>
      <c r="AU24">
        <f>SUM('p1:p4'!AU24)</f>
        <v>0</v>
      </c>
      <c r="AV24">
        <f>SUM('p1:p4'!AV24)</f>
        <v>0</v>
      </c>
      <c r="AW24" s="13">
        <f>SUM('p1:p4'!AW24)</f>
        <v>0</v>
      </c>
      <c r="AX24" s="13">
        <f>SUM('p1:p4'!AX24)</f>
        <v>0</v>
      </c>
      <c r="AY24">
        <f>SUM('p1:p4'!AY24)</f>
        <v>0</v>
      </c>
    </row>
    <row r="25" spans="1:51" x14ac:dyDescent="0.2">
      <c r="A25" s="17" t="s">
        <v>12</v>
      </c>
      <c r="B25" s="17"/>
      <c r="C25" s="18">
        <f>SUM('p1:p4'!C25)</f>
        <v>8</v>
      </c>
      <c r="D25" s="28"/>
      <c r="E25" s="28" t="s">
        <v>12</v>
      </c>
      <c r="F25" s="28"/>
      <c r="G25" s="18">
        <f>SUM('p1:p4'!G25)</f>
        <v>3</v>
      </c>
      <c r="H25" s="28"/>
      <c r="J25" s="13" t="s">
        <v>16</v>
      </c>
      <c r="K25">
        <f>SUM('p1:p4'!K25)</f>
        <v>0</v>
      </c>
      <c r="L25" s="13" t="s">
        <v>16</v>
      </c>
      <c r="M25">
        <f>SUM('p1:p4'!K25)</f>
        <v>0</v>
      </c>
      <c r="N25" s="13" t="s">
        <v>16</v>
      </c>
      <c r="O25" s="14">
        <f>SUM('p1:p4'!O25)</f>
        <v>0</v>
      </c>
      <c r="Q25">
        <v>45</v>
      </c>
      <c r="R25" s="14"/>
      <c r="T25" s="102"/>
      <c r="U25" s="103"/>
      <c r="V25" s="102"/>
      <c r="W25" s="103"/>
      <c r="X25" s="102"/>
      <c r="Y25" s="103"/>
      <c r="AL25" s="33"/>
      <c r="AM25" s="34"/>
      <c r="AN25" s="34"/>
      <c r="AO25" s="34"/>
      <c r="AP25" s="34"/>
      <c r="AR25" s="36"/>
      <c r="AS25" s="13"/>
      <c r="AW25" s="13"/>
    </row>
    <row r="26" spans="1:51" x14ac:dyDescent="0.2">
      <c r="A26" s="94" t="s">
        <v>75</v>
      </c>
      <c r="C26" s="95">
        <f>SUM(C3,C8,C13,G13,H8,J3,P3,P8,P13,L13)</f>
        <v>7.302999999999999</v>
      </c>
      <c r="D26" s="96">
        <f>SUM(C25-C26)</f>
        <v>0.69700000000000095</v>
      </c>
      <c r="E26" s="94" t="s">
        <v>75</v>
      </c>
      <c r="G26" s="95">
        <f>SUM(W3,W8,W13,AA13,AB8,AD3,AJ3,AJ8,AJ13,AF13)</f>
        <v>3.4580000000000002</v>
      </c>
      <c r="H26" s="96">
        <f>SUM(G25-G26)</f>
        <v>-0.45800000000000018</v>
      </c>
      <c r="J26" s="11"/>
      <c r="K26" s="17"/>
      <c r="L26" s="11"/>
      <c r="M26" s="17"/>
      <c r="N26" s="11"/>
      <c r="O26" s="12"/>
      <c r="Q26">
        <v>12</v>
      </c>
      <c r="R26" s="14"/>
      <c r="T26" s="102"/>
      <c r="U26" s="103"/>
      <c r="V26" s="102"/>
      <c r="W26" s="103"/>
      <c r="X26" s="102"/>
      <c r="Y26" s="103"/>
      <c r="AL26" s="33"/>
      <c r="AM26" s="34"/>
      <c r="AN26" s="34"/>
      <c r="AO26" s="34"/>
      <c r="AP26" s="34"/>
      <c r="AR26" s="36"/>
      <c r="AS26" s="13"/>
      <c r="AT26" s="13"/>
      <c r="AW26" s="13"/>
      <c r="AX26" s="13"/>
    </row>
    <row r="27" spans="1:51" x14ac:dyDescent="0.2">
      <c r="A27" s="98" t="s">
        <v>13</v>
      </c>
      <c r="B27" s="126"/>
      <c r="C27" s="126"/>
      <c r="D27" s="99"/>
      <c r="E27" s="98" t="s">
        <v>14</v>
      </c>
      <c r="F27" s="126"/>
      <c r="G27" s="126"/>
      <c r="H27" s="99"/>
      <c r="Q27">
        <v>13</v>
      </c>
      <c r="R27" s="14"/>
      <c r="T27" s="104"/>
      <c r="U27" s="105"/>
      <c r="V27" s="104"/>
      <c r="W27" s="105"/>
      <c r="X27" s="104"/>
      <c r="Y27" s="105"/>
      <c r="AL27" s="33"/>
      <c r="AM27" s="34"/>
      <c r="AN27" s="34"/>
      <c r="AO27" s="34"/>
      <c r="AP27" s="34"/>
      <c r="AR27" s="36"/>
      <c r="AS27" s="13"/>
      <c r="AW27" s="13"/>
    </row>
    <row r="28" spans="1:51" x14ac:dyDescent="0.2">
      <c r="A28" s="98" t="s">
        <v>15</v>
      </c>
      <c r="B28" s="99"/>
      <c r="C28" s="98" t="s">
        <v>16</v>
      </c>
      <c r="D28" s="99"/>
      <c r="E28" s="29" t="s">
        <v>17</v>
      </c>
      <c r="F28" s="28"/>
      <c r="G28" s="29" t="s">
        <v>18</v>
      </c>
      <c r="H28" s="16"/>
      <c r="J28" s="118" t="s">
        <v>23</v>
      </c>
      <c r="K28" s="127"/>
      <c r="L28" s="106" t="s">
        <v>24</v>
      </c>
      <c r="M28" s="108"/>
      <c r="N28" s="106" t="s">
        <v>25</v>
      </c>
      <c r="O28" s="108"/>
      <c r="P28" s="30" t="s">
        <v>26</v>
      </c>
      <c r="AL28" s="33"/>
      <c r="AM28" s="34"/>
      <c r="AN28" s="34"/>
      <c r="AO28" s="34"/>
      <c r="AP28" s="34"/>
      <c r="AR28" s="36"/>
      <c r="AS28" s="13"/>
      <c r="AT28" s="13"/>
      <c r="AW28" s="13"/>
      <c r="AX28" s="13"/>
    </row>
    <row r="29" spans="1:51" x14ac:dyDescent="0.2">
      <c r="A29" s="13">
        <f>SUM('p1:p4'!A29)</f>
        <v>9</v>
      </c>
      <c r="B29" s="14"/>
      <c r="C29" s="9">
        <f>SUM('p1:p4'!C29)</f>
        <v>5</v>
      </c>
      <c r="D29" s="20"/>
      <c r="E29" s="9">
        <f>SUM('p1:p4'!E29)</f>
        <v>0</v>
      </c>
      <c r="F29" s="20">
        <f>SUM('p1:p4'!F29)</f>
        <v>0</v>
      </c>
      <c r="G29" s="9">
        <f>SUM('p1:p4'!G29)</f>
        <v>0</v>
      </c>
      <c r="H29" s="10">
        <f>SUM('p1:p4'!H29)</f>
        <v>0</v>
      </c>
      <c r="J29" s="15">
        <f>SUM(G22)</f>
        <v>11</v>
      </c>
      <c r="K29" s="16"/>
      <c r="L29" s="15">
        <f>SUM(J29-G25)</f>
        <v>8</v>
      </c>
      <c r="M29" s="16"/>
      <c r="N29" s="15">
        <f>SUM(G25)</f>
        <v>3</v>
      </c>
      <c r="O29" s="16"/>
      <c r="P29" s="121">
        <f>SUM(L29/J29)</f>
        <v>0.72727272727272729</v>
      </c>
      <c r="Q29" s="120"/>
      <c r="T29" s="27" t="s">
        <v>142</v>
      </c>
    </row>
    <row r="30" spans="1:51" x14ac:dyDescent="0.2">
      <c r="A30" s="13"/>
      <c r="B30" s="14"/>
      <c r="C30" s="13"/>
      <c r="E30" s="13"/>
      <c r="G30" s="13"/>
      <c r="H30" s="14"/>
      <c r="J30" s="117"/>
      <c r="K30" s="117"/>
      <c r="N30" s="117"/>
      <c r="O30" s="117"/>
      <c r="P30" s="119" t="s">
        <v>40</v>
      </c>
      <c r="Q30" s="119"/>
      <c r="R30" s="120" t="e">
        <f>SUM(L30/J30)</f>
        <v>#DIV/0!</v>
      </c>
      <c r="S30" s="120"/>
      <c r="T30" s="15" t="s">
        <v>29</v>
      </c>
      <c r="U30" s="16" t="s">
        <v>7</v>
      </c>
      <c r="V30" s="98" t="s">
        <v>15</v>
      </c>
      <c r="W30" s="99"/>
      <c r="X30" s="98" t="s">
        <v>16</v>
      </c>
      <c r="Y30" s="99"/>
    </row>
    <row r="31" spans="1:51" x14ac:dyDescent="0.2">
      <c r="A31" s="13"/>
      <c r="B31" s="14"/>
      <c r="C31" s="13"/>
      <c r="E31" s="13"/>
      <c r="G31" s="13"/>
      <c r="H31" s="14"/>
      <c r="P31" s="119" t="s">
        <v>59</v>
      </c>
      <c r="Q31" s="119"/>
      <c r="R31" s="120" t="e">
        <f>SUM(L31/J31)</f>
        <v>#DIV/0!</v>
      </c>
      <c r="S31" s="120"/>
      <c r="T31" s="100">
        <f>SUM('p1:p4'!T31:U31)</f>
        <v>23</v>
      </c>
      <c r="U31" s="101"/>
      <c r="V31" s="100">
        <f>SUM('p1:p4'!V31:W31)</f>
        <v>17</v>
      </c>
      <c r="W31" s="101"/>
      <c r="X31" s="100">
        <f>SUM('p1:p4'!X31:Y31)</f>
        <v>6</v>
      </c>
      <c r="Y31" s="101"/>
    </row>
    <row r="32" spans="1:51" x14ac:dyDescent="0.2">
      <c r="A32" s="13"/>
      <c r="B32" s="14"/>
      <c r="C32" s="13"/>
      <c r="E32" s="13"/>
      <c r="G32" s="13"/>
      <c r="H32" s="14"/>
      <c r="T32" s="102"/>
      <c r="U32" s="103"/>
      <c r="V32" s="102"/>
      <c r="W32" s="103"/>
      <c r="X32" s="102"/>
      <c r="Y32" s="103"/>
    </row>
    <row r="33" spans="1:25" x14ac:dyDescent="0.2">
      <c r="A33" s="11"/>
      <c r="B33" s="12"/>
      <c r="C33" s="11"/>
      <c r="D33" s="17"/>
      <c r="E33" s="11"/>
      <c r="F33" s="17"/>
      <c r="G33" s="11"/>
      <c r="H33" s="12"/>
      <c r="J33" s="106" t="s">
        <v>60</v>
      </c>
      <c r="K33" s="107"/>
      <c r="L33" s="108"/>
      <c r="M33" s="15" t="s">
        <v>62</v>
      </c>
      <c r="N33" s="109">
        <f>SUM('p1:p3'!N31)</f>
        <v>30.85</v>
      </c>
      <c r="O33" s="110"/>
      <c r="T33" s="102"/>
      <c r="U33" s="103"/>
      <c r="V33" s="102"/>
      <c r="W33" s="103"/>
      <c r="X33" s="102"/>
      <c r="Y33" s="103"/>
    </row>
    <row r="34" spans="1:25" x14ac:dyDescent="0.2">
      <c r="J34" s="13"/>
      <c r="K34" s="111">
        <f>N33/60</f>
        <v>0.51416666666666666</v>
      </c>
      <c r="L34" s="112"/>
      <c r="M34" s="112">
        <f>1-K34</f>
        <v>0.48583333333333334</v>
      </c>
      <c r="N34" s="115"/>
      <c r="O34" s="14"/>
      <c r="T34" s="104"/>
      <c r="U34" s="105"/>
      <c r="V34" s="104"/>
      <c r="W34" s="105"/>
      <c r="X34" s="104"/>
      <c r="Y34" s="105"/>
    </row>
    <row r="35" spans="1:25" x14ac:dyDescent="0.2">
      <c r="J35" s="11"/>
      <c r="K35" s="113"/>
      <c r="L35" s="114"/>
      <c r="M35" s="114"/>
      <c r="N35" s="116"/>
      <c r="O35" s="12"/>
    </row>
    <row r="36" spans="1:25" x14ac:dyDescent="0.2">
      <c r="K36" s="117" t="s">
        <v>143</v>
      </c>
      <c r="L36" s="117"/>
      <c r="M36" s="118" t="s">
        <v>63</v>
      </c>
      <c r="N36" s="117"/>
      <c r="O36" s="117"/>
    </row>
  </sheetData>
  <sortState xmlns:xlrd2="http://schemas.microsoft.com/office/spreadsheetml/2017/richdata2" ref="AL2:AU28">
    <sortCondition ref="AL2:AL28"/>
  </sortState>
  <mergeCells count="39">
    <mergeCell ref="A20:D20"/>
    <mergeCell ref="U20:X20"/>
    <mergeCell ref="A27:D27"/>
    <mergeCell ref="E27:H27"/>
    <mergeCell ref="A28:B28"/>
    <mergeCell ref="C28:D28"/>
    <mergeCell ref="J28:K28"/>
    <mergeCell ref="L28:M28"/>
    <mergeCell ref="J23:K23"/>
    <mergeCell ref="L23:M23"/>
    <mergeCell ref="N23:O23"/>
    <mergeCell ref="N28:O28"/>
    <mergeCell ref="V24:W27"/>
    <mergeCell ref="X24:Y27"/>
    <mergeCell ref="T24:U27"/>
    <mergeCell ref="P29:Q29"/>
    <mergeCell ref="G1:J1"/>
    <mergeCell ref="AA1:AD1"/>
    <mergeCell ref="E21:G21"/>
    <mergeCell ref="J21:M21"/>
    <mergeCell ref="J22:O22"/>
    <mergeCell ref="P21:Q21"/>
    <mergeCell ref="J30:K30"/>
    <mergeCell ref="N30:O30"/>
    <mergeCell ref="P31:Q31"/>
    <mergeCell ref="P30:Q30"/>
    <mergeCell ref="R30:S30"/>
    <mergeCell ref="R31:S31"/>
    <mergeCell ref="J33:L33"/>
    <mergeCell ref="N33:O33"/>
    <mergeCell ref="K34:L35"/>
    <mergeCell ref="M34:N35"/>
    <mergeCell ref="K36:L36"/>
    <mergeCell ref="M36:O36"/>
    <mergeCell ref="V30:W30"/>
    <mergeCell ref="X30:Y30"/>
    <mergeCell ref="T31:U34"/>
    <mergeCell ref="V31:W34"/>
    <mergeCell ref="X31:Y34"/>
  </mergeCells>
  <conditionalFormatting sqref="D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109BC-108A-6848-B026-1A91E020F45D}">
  <sheetPr codeName="Blad3"/>
  <dimension ref="A1:AY34"/>
  <sheetViews>
    <sheetView zoomScale="80" zoomScaleNormal="80" workbookViewId="0">
      <selection activeCell="C29" sqref="C29"/>
    </sheetView>
  </sheetViews>
  <sheetFormatPr baseColWidth="10" defaultRowHeight="16" x14ac:dyDescent="0.2"/>
  <cols>
    <col min="1" max="19" width="4.1640625" customWidth="1"/>
    <col min="21" max="36" width="4.1640625" customWidth="1"/>
    <col min="39" max="41" width="0" hidden="1" customWidth="1"/>
    <col min="42" max="42" width="10.83203125" hidden="1" customWidth="1"/>
    <col min="43" max="44" width="0" hidden="1" customWidth="1"/>
    <col min="46" max="46" width="12.1640625" customWidth="1"/>
  </cols>
  <sheetData>
    <row r="1" spans="1:51" ht="17" x14ac:dyDescent="0.2">
      <c r="A1" s="1"/>
      <c r="B1" s="2"/>
      <c r="C1" s="2"/>
      <c r="D1" s="2"/>
      <c r="E1" s="2"/>
      <c r="F1" s="2"/>
      <c r="G1" s="122" t="s">
        <v>4</v>
      </c>
      <c r="H1" s="122"/>
      <c r="I1" s="122"/>
      <c r="J1" s="122"/>
      <c r="K1" s="2"/>
      <c r="L1" s="2"/>
      <c r="M1" s="2"/>
      <c r="N1" s="2"/>
      <c r="O1" s="2"/>
      <c r="P1" s="3"/>
      <c r="U1" s="1"/>
      <c r="V1" s="2"/>
      <c r="W1" s="2"/>
      <c r="X1" s="2"/>
      <c r="Y1" s="2"/>
      <c r="Z1" s="2"/>
      <c r="AA1" s="122" t="s">
        <v>5</v>
      </c>
      <c r="AB1" s="122"/>
      <c r="AC1" s="122"/>
      <c r="AD1" s="122"/>
      <c r="AE1" s="2"/>
      <c r="AF1" s="2"/>
      <c r="AG1" s="2"/>
      <c r="AH1" s="2"/>
      <c r="AI1" s="2"/>
      <c r="AJ1" s="3"/>
      <c r="AL1" s="34" t="s">
        <v>38</v>
      </c>
      <c r="AM1" t="s">
        <v>9</v>
      </c>
      <c r="AN1" t="s">
        <v>10</v>
      </c>
      <c r="AO1" t="s">
        <v>11</v>
      </c>
      <c r="AP1" t="s">
        <v>12</v>
      </c>
      <c r="AQ1" s="36" t="s">
        <v>41</v>
      </c>
      <c r="AR1" t="s">
        <v>42</v>
      </c>
      <c r="AS1" s="13" t="s">
        <v>39</v>
      </c>
      <c r="AT1" t="s">
        <v>68</v>
      </c>
      <c r="AU1" t="s">
        <v>57</v>
      </c>
      <c r="AV1" t="s">
        <v>69</v>
      </c>
      <c r="AW1" t="s">
        <v>71</v>
      </c>
      <c r="AX1" t="s">
        <v>70</v>
      </c>
      <c r="AY1" t="s">
        <v>72</v>
      </c>
    </row>
    <row r="2" spans="1:51" x14ac:dyDescent="0.2">
      <c r="A2" s="4"/>
      <c r="P2" s="5"/>
      <c r="U2" s="4"/>
      <c r="AJ2" s="5"/>
      <c r="AL2" s="33">
        <v>4</v>
      </c>
      <c r="AM2" s="34">
        <f>SUM(SkottSpelare!E33,SkottSpelare!I33,SkottSpelare!M33,SkottSpelare!E37,SkottSpelare!I37,SkottSpelare!M37,SkottSpelare!E41)</f>
        <v>0</v>
      </c>
      <c r="AN2" s="34">
        <f>SUM(SkottSpelare!E34,SkottSpelare!I34,SkottSpelare!M34,SkottSpelare!E38,SkottSpelare!I38,SkottSpelare!M38,SkottSpelare!E42,SkottSpelare!G42,SkottSpelare!J42,SkottSpelare!M42)</f>
        <v>0</v>
      </c>
      <c r="AO2" s="34">
        <f>SUM(SkottSpelare!E35,SkottSpelare!I35,SkottSpelare!M35,SkottSpelare!E39,SkottSpelare!I39,SkottSpelare!M39,SkottSpelare!E43,SkottSpelare!H43,SkottSpelare!J43,SkottSpelare!M43)</f>
        <v>0</v>
      </c>
      <c r="AP2" s="34">
        <f>SUM(SkottSpelare!E36,SkottSpelare!I36,SkottSpelare!M36,SkottSpelare!E40,SkottSpelare!I40,SkottSpelare!M40,SkottSpelare!E44,SkottSpelare!G44,SkottSpelare!J44,SkottSpelare!M44)</f>
        <v>0</v>
      </c>
      <c r="AQ2" s="36" t="e">
        <f t="shared" ref="AQ2:AQ9" si="0">SUM(AM2/(AM2+AN2+AO2))</f>
        <v>#DIV/0!</v>
      </c>
      <c r="AR2" s="36" t="e">
        <f t="shared" ref="AR2:AR9" si="1">SUM(AP2/(AO2+AN2+AM2))</f>
        <v>#DIV/0!</v>
      </c>
      <c r="AS2" s="13"/>
      <c r="AT2">
        <v>3</v>
      </c>
      <c r="AU2">
        <v>2</v>
      </c>
      <c r="AV2">
        <v>3</v>
      </c>
      <c r="AW2">
        <v>1</v>
      </c>
      <c r="AY2">
        <v>1</v>
      </c>
    </row>
    <row r="3" spans="1:51" ht="17" thickBot="1" x14ac:dyDescent="0.25">
      <c r="A3" s="19"/>
      <c r="B3" s="20"/>
      <c r="C3" s="20"/>
      <c r="D3" s="20"/>
      <c r="E3" s="20"/>
      <c r="F3" s="20"/>
      <c r="G3" s="20"/>
      <c r="H3" s="21"/>
      <c r="I3" s="22"/>
      <c r="J3" s="20"/>
      <c r="K3" s="20"/>
      <c r="L3" s="20"/>
      <c r="M3" s="20"/>
      <c r="N3" s="20"/>
      <c r="O3" s="20"/>
      <c r="P3" s="23"/>
      <c r="U3" s="19"/>
      <c r="V3" s="20"/>
      <c r="W3" s="20"/>
      <c r="X3" s="20"/>
      <c r="Y3" s="20"/>
      <c r="Z3" s="20"/>
      <c r="AA3" s="20"/>
      <c r="AB3" s="21"/>
      <c r="AC3" s="22"/>
      <c r="AD3" s="20"/>
      <c r="AE3" s="20"/>
      <c r="AF3" s="20"/>
      <c r="AG3" s="20"/>
      <c r="AH3" s="20"/>
      <c r="AI3" s="20"/>
      <c r="AJ3" s="23"/>
      <c r="AL3" s="33">
        <v>7</v>
      </c>
      <c r="AM3" s="34"/>
      <c r="AN3" s="34"/>
      <c r="AO3" s="34"/>
      <c r="AP3" s="34"/>
      <c r="AQ3" s="36" t="e">
        <f t="shared" si="0"/>
        <v>#DIV/0!</v>
      </c>
      <c r="AR3" s="36" t="e">
        <f t="shared" si="1"/>
        <v>#DIV/0!</v>
      </c>
      <c r="AS3" s="13"/>
      <c r="AT3">
        <v>3</v>
      </c>
      <c r="AV3">
        <v>5</v>
      </c>
      <c r="AW3">
        <v>2</v>
      </c>
      <c r="AX3">
        <v>1</v>
      </c>
      <c r="AY3">
        <v>3</v>
      </c>
    </row>
    <row r="4" spans="1:51" x14ac:dyDescent="0.2">
      <c r="A4" t="s">
        <v>0</v>
      </c>
      <c r="B4">
        <f>SUM(SkottSpelare!E3,SkottSpelare!E18,SkottSpelare!E33,SkottSpelare!E48,SkottSpelare!E63,SkottSpelare!E78,SkottSpelare!E93,SkottSpelare!E108,SkottSpelare!E123,SkottSpelare!E138,SkottSpelare!E153,SkottSpelare!E168,SkottSpelare!E183,SkottSpelare!E198,SkottSpelare!E213,SkottSpelare!E228,SkottSpelare!E243,SkottSpelare!E258,SkottSpelare!E273,SkottSpelare!E288,SkottSpelare!E303,SkottSpelare!E318,SkottSpelare!E333,SkottSpelare!E348,SkottSpelare!E363,SkottSpelare!E378,SkottSpelare!E393,SkottSpelare!E408,SkottSpelare!E423,SkottSpelare!E438,SkottSpelare!E453,SkottSpelare!E468)</f>
        <v>2</v>
      </c>
      <c r="H4" t="s">
        <v>0</v>
      </c>
      <c r="I4">
        <f>SUM(SkottSpelare!I3,SkottSpelare!I18,SkottSpelare!I33,SkottSpelare!I48,SkottSpelare!I63,SkottSpelare!I78,SkottSpelare!I93,SkottSpelare!I108,SkottSpelare!I123,SkottSpelare!I138,SkottSpelare!I153,SkottSpelare!I168,SkottSpelare!I183,SkottSpelare!I198,SkottSpelare!I213,SkottSpelare!I228,SkottSpelare!I243,SkottSpelare!I258,SkottSpelare!I273,SkottSpelare!I288,SkottSpelare!I303,SkottSpelare!I318,SkottSpelare!I333,SkottSpelare!I348,SkottSpelare!I363,SkottSpelare!I378,SkottSpelare!I393,SkottSpelare!I408,SkottSpelare!I423,SkottSpelare!I438,SkottSpelare!I453,SkottSpelare!I468)</f>
        <v>0</v>
      </c>
      <c r="N4" t="s">
        <v>0</v>
      </c>
      <c r="O4">
        <f>SUM(SkottSpelare!M3,SkottSpelare!M18,SkottSpelare!M33,SkottSpelare!M48,SkottSpelare!M63,SkottSpelare!M78,SkottSpelare!M93,SkottSpelare!M108,SkottSpelare!M123,SkottSpelare!M138,SkottSpelare!M153,SkottSpelare!M168,SkottSpelare!M183,SkottSpelare!M198,SkottSpelare!M213,SkottSpelare!M228,SkottSpelare!M243,SkottSpelare!M258,SkottSpelare!M273,SkottSpelare!M288,SkottSpelare!M303,SkottSpelare!M318,SkottSpelare!M333,SkottSpelare!M348,SkottSpelare!M363,SkottSpelare!M378,SkottSpelare!M393,SkottSpelare!M408,SkottSpelare!M423,SkottSpelare!M438,SkottSpelare!M453,SkottSpelare!M468)</f>
        <v>0</v>
      </c>
      <c r="P4" s="5"/>
      <c r="U4" s="4" t="s">
        <v>0</v>
      </c>
      <c r="V4">
        <v>2</v>
      </c>
      <c r="AB4" t="s">
        <v>0</v>
      </c>
      <c r="AH4" t="s">
        <v>0</v>
      </c>
      <c r="AJ4" s="5"/>
      <c r="AL4" s="33">
        <v>6</v>
      </c>
      <c r="AM4" s="34"/>
      <c r="AN4" s="34"/>
      <c r="AO4" s="34"/>
      <c r="AP4" s="34"/>
      <c r="AQ4" s="36" t="e">
        <f t="shared" si="0"/>
        <v>#DIV/0!</v>
      </c>
      <c r="AR4" s="36" t="e">
        <f t="shared" si="1"/>
        <v>#DIV/0!</v>
      </c>
      <c r="AS4" s="35"/>
      <c r="AT4" s="34"/>
    </row>
    <row r="5" spans="1:51" x14ac:dyDescent="0.2">
      <c r="A5" t="s">
        <v>1</v>
      </c>
      <c r="B5">
        <f>SUM(SkottSpelare!E4,SkottSpelare!E19,SkottSpelare!E34,SkottSpelare!E49,SkottSpelare!E64,SkottSpelare!E79,SkottSpelare!E94,SkottSpelare!E109,SkottSpelare!E124,SkottSpelare!E139,SkottSpelare!E154,SkottSpelare!E169,SkottSpelare!E184,SkottSpelare!E199,SkottSpelare!E214,SkottSpelare!E229,SkottSpelare!E244,SkottSpelare!E259,SkottSpelare!E274,SkottSpelare!E289,SkottSpelare!E304,SkottSpelare!E319,SkottSpelare!E334,SkottSpelare!E349,SkottSpelare!E364,SkottSpelare!E379,SkottSpelare!E394,SkottSpelare!E409,SkottSpelare!E424,SkottSpelare!E439,SkottSpelare!E454,SkottSpelare!E469)</f>
        <v>0</v>
      </c>
      <c r="H5" t="s">
        <v>1</v>
      </c>
      <c r="I5">
        <f>SUM(SkottSpelare!I4,SkottSpelare!I19,SkottSpelare!I34,SkottSpelare!I49,SkottSpelare!I64,SkottSpelare!I79,SkottSpelare!I94,SkottSpelare!I109,SkottSpelare!I124,SkottSpelare!I139,SkottSpelare!I154,SkottSpelare!I169,SkottSpelare!I184,SkottSpelare!I199,SkottSpelare!I214,SkottSpelare!I229,SkottSpelare!I244,SkottSpelare!I259,SkottSpelare!I274,SkottSpelare!I289,SkottSpelare!I304,SkottSpelare!I319,SkottSpelare!I334,SkottSpelare!I349,SkottSpelare!I364,SkottSpelare!I379,SkottSpelare!I394,SkottSpelare!I409,SkottSpelare!I424,SkottSpelare!I439,SkottSpelare!I454,SkottSpelare!I469)</f>
        <v>0</v>
      </c>
      <c r="N5" t="s">
        <v>1</v>
      </c>
      <c r="O5">
        <f>SUM(SkottSpelare!M4,SkottSpelare!M19,SkottSpelare!M34,SkottSpelare!M49,SkottSpelare!M64,SkottSpelare!M79,SkottSpelare!M94,SkottSpelare!M109,SkottSpelare!M124,SkottSpelare!M139,SkottSpelare!M154,SkottSpelare!M169,SkottSpelare!M184,SkottSpelare!M199,SkottSpelare!M214,SkottSpelare!M229,SkottSpelare!M244,SkottSpelare!M259,SkottSpelare!M274,SkottSpelare!M289,SkottSpelare!M304,SkottSpelare!M319,SkottSpelare!M334,SkottSpelare!M349,SkottSpelare!M364,SkottSpelare!M379,SkottSpelare!M394,SkottSpelare!M409,SkottSpelare!M424,SkottSpelare!M439,SkottSpelare!M454,SkottSpelare!M469)</f>
        <v>0</v>
      </c>
      <c r="P5" s="5"/>
      <c r="U5" s="4" t="s">
        <v>1</v>
      </c>
      <c r="AB5" t="s">
        <v>1</v>
      </c>
      <c r="AH5" t="s">
        <v>1</v>
      </c>
      <c r="AJ5" s="5"/>
      <c r="AL5" s="33">
        <v>2</v>
      </c>
      <c r="AQ5" s="36" t="e">
        <f t="shared" si="0"/>
        <v>#DIV/0!</v>
      </c>
      <c r="AR5" s="36" t="e">
        <f t="shared" si="1"/>
        <v>#DIV/0!</v>
      </c>
      <c r="AS5" s="13"/>
    </row>
    <row r="6" spans="1:51" x14ac:dyDescent="0.2">
      <c r="A6" t="s">
        <v>2</v>
      </c>
      <c r="B6">
        <f>SUM(SkottSpelare!E5,SkottSpelare!E20,SkottSpelare!E35,SkottSpelare!E50,SkottSpelare!E65,SkottSpelare!E80,SkottSpelare!E95,SkottSpelare!E110,SkottSpelare!E125,SkottSpelare!E140,SkottSpelare!E155,SkottSpelare!E170,SkottSpelare!E185,SkottSpelare!E200,SkottSpelare!E215,SkottSpelare!E230,SkottSpelare!E245,SkottSpelare!E260,SkottSpelare!E275,SkottSpelare!E290,SkottSpelare!E305,SkottSpelare!E320,SkottSpelare!E335,SkottSpelare!E350,SkottSpelare!E365,SkottSpelare!E380,SkottSpelare!E395,SkottSpelare!E410,SkottSpelare!E425,SkottSpelare!E440,SkottSpelare!E455,SkottSpelare!E470)</f>
        <v>2</v>
      </c>
      <c r="H6" t="s">
        <v>2</v>
      </c>
      <c r="I6">
        <f>SUM(SkottSpelare!I5,SkottSpelare!I20,SkottSpelare!I35,SkottSpelare!I50,SkottSpelare!I65,SkottSpelare!I80,SkottSpelare!I95,SkottSpelare!I110,SkottSpelare!I125,SkottSpelare!I140,SkottSpelare!I155,SkottSpelare!I170,SkottSpelare!I185,SkottSpelare!I200,SkottSpelare!I215,SkottSpelare!I230,SkottSpelare!I245,SkottSpelare!I260,SkottSpelare!I275,SkottSpelare!I290,SkottSpelare!I305,SkottSpelare!I320,SkottSpelare!I335,SkottSpelare!I350,SkottSpelare!I365,SkottSpelare!I380,SkottSpelare!I395,SkottSpelare!I410,SkottSpelare!I425,SkottSpelare!I440,SkottSpelare!I455,SkottSpelare!I470)</f>
        <v>0</v>
      </c>
      <c r="N6" t="s">
        <v>2</v>
      </c>
      <c r="O6">
        <f>SUM(SkottSpelare!M5,SkottSpelare!M20,SkottSpelare!M35,SkottSpelare!M50,SkottSpelare!M65,SkottSpelare!M80,SkottSpelare!M95,SkottSpelare!M110,SkottSpelare!M125,SkottSpelare!M140,SkottSpelare!M155,SkottSpelare!M170,SkottSpelare!M185,SkottSpelare!M200,SkottSpelare!M215,SkottSpelare!M230,SkottSpelare!M245,SkottSpelare!M260,SkottSpelare!M275,SkottSpelare!M290,SkottSpelare!M305,SkottSpelare!M320,SkottSpelare!M335,SkottSpelare!M350,SkottSpelare!M365,SkottSpelare!M380,SkottSpelare!M395,SkottSpelare!M410,SkottSpelare!M425,SkottSpelare!M440,SkottSpelare!M455,SkottSpelare!M470)</f>
        <v>0</v>
      </c>
      <c r="P6" s="5"/>
      <c r="U6" s="4" t="s">
        <v>2</v>
      </c>
      <c r="V6">
        <v>1</v>
      </c>
      <c r="AB6" t="s">
        <v>2</v>
      </c>
      <c r="AH6" t="s">
        <v>2</v>
      </c>
      <c r="AJ6" s="5"/>
      <c r="AL6" s="33">
        <v>12</v>
      </c>
      <c r="AM6" s="34"/>
      <c r="AN6" s="34"/>
      <c r="AO6" s="34"/>
      <c r="AP6" s="34"/>
      <c r="AQ6" s="36" t="e">
        <f t="shared" si="0"/>
        <v>#DIV/0!</v>
      </c>
      <c r="AR6" s="36" t="e">
        <f t="shared" si="1"/>
        <v>#DIV/0!</v>
      </c>
      <c r="AS6" s="13"/>
      <c r="AT6">
        <v>3</v>
      </c>
      <c r="AU6">
        <v>1</v>
      </c>
      <c r="AV6">
        <v>1</v>
      </c>
      <c r="AW6">
        <v>9</v>
      </c>
      <c r="AX6">
        <v>1</v>
      </c>
      <c r="AY6">
        <v>1</v>
      </c>
    </row>
    <row r="7" spans="1:51" x14ac:dyDescent="0.2">
      <c r="A7" s="17" t="s">
        <v>3</v>
      </c>
      <c r="B7">
        <f>SUM(SkottSpelare!E6,SkottSpelare!E21,SkottSpelare!E36,SkottSpelare!E51,SkottSpelare!E66,SkottSpelare!E81,SkottSpelare!E96,SkottSpelare!E111,SkottSpelare!E126,SkottSpelare!E141,SkottSpelare!E156,SkottSpelare!E171,SkottSpelare!E186,SkottSpelare!E201,SkottSpelare!E216,SkottSpelare!E231,SkottSpelare!E246,SkottSpelare!E261,SkottSpelare!E276,SkottSpelare!E291,SkottSpelare!E306,SkottSpelare!E321,SkottSpelare!E336,SkottSpelare!E351,SkottSpelare!E366,SkottSpelare!E381,SkottSpelare!E396,SkottSpelare!E411,SkottSpelare!E426,SkottSpelare!E441,SkottSpelare!E456,SkottSpelare!E471)</f>
        <v>0</v>
      </c>
      <c r="H7" s="17" t="s">
        <v>3</v>
      </c>
      <c r="I7">
        <f>SUM(SkottSpelare!I6,SkottSpelare!I21,SkottSpelare!I36,SkottSpelare!I51,SkottSpelare!I66,SkottSpelare!I81,SkottSpelare!I96,SkottSpelare!I111,SkottSpelare!I126,SkottSpelare!I141,SkottSpelare!I156,SkottSpelare!I171,SkottSpelare!I186,SkottSpelare!I201,SkottSpelare!I216,SkottSpelare!I231,SkottSpelare!I246,SkottSpelare!I261,SkottSpelare!I276,SkottSpelare!I291,SkottSpelare!I306,SkottSpelare!I321,SkottSpelare!I336,SkottSpelare!I351,SkottSpelare!I366,SkottSpelare!I381,SkottSpelare!I396,SkottSpelare!I411,SkottSpelare!I426,SkottSpelare!I441,SkottSpelare!I456,SkottSpelare!I471)</f>
        <v>0</v>
      </c>
      <c r="N7" s="17" t="s">
        <v>3</v>
      </c>
      <c r="O7">
        <f>SUM(SkottSpelare!M6,SkottSpelare!M21,SkottSpelare!M36,SkottSpelare!M51,SkottSpelare!M66,SkottSpelare!M81,SkottSpelare!M96,SkottSpelare!M111,SkottSpelare!M126,SkottSpelare!M141,SkottSpelare!M156,SkottSpelare!M171,SkottSpelare!M186,SkottSpelare!M201,SkottSpelare!M216,SkottSpelare!M231,SkottSpelare!M246,SkottSpelare!M261,SkottSpelare!M276,SkottSpelare!M291,SkottSpelare!M306,SkottSpelare!M321,SkottSpelare!M336,SkottSpelare!M351,SkottSpelare!M366,SkottSpelare!M381,SkottSpelare!M396,SkottSpelare!M411,SkottSpelare!M426,SkottSpelare!M441,SkottSpelare!M456,SkottSpelare!M471)</f>
        <v>0</v>
      </c>
      <c r="P7" s="5"/>
      <c r="U7" s="26" t="s">
        <v>3</v>
      </c>
      <c r="V7">
        <v>1</v>
      </c>
      <c r="AB7" s="17" t="s">
        <v>3</v>
      </c>
      <c r="AH7" s="17" t="s">
        <v>3</v>
      </c>
      <c r="AJ7" s="5"/>
      <c r="AL7" s="33">
        <v>10</v>
      </c>
      <c r="AM7" s="34"/>
      <c r="AN7" s="34"/>
      <c r="AO7" s="34"/>
      <c r="AP7" s="34"/>
      <c r="AQ7" s="36" t="e">
        <f t="shared" si="0"/>
        <v>#DIV/0!</v>
      </c>
      <c r="AR7" s="36" t="e">
        <f t="shared" si="1"/>
        <v>#DIV/0!</v>
      </c>
      <c r="AS7" s="35"/>
      <c r="AT7" s="34"/>
    </row>
    <row r="8" spans="1:51" x14ac:dyDescent="0.2">
      <c r="A8" s="19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3"/>
      <c r="U8" s="19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3"/>
      <c r="AL8" s="33">
        <v>17</v>
      </c>
      <c r="AM8" s="34"/>
      <c r="AN8" s="34"/>
      <c r="AO8" s="34"/>
      <c r="AP8" s="34"/>
      <c r="AQ8" s="36" t="e">
        <f t="shared" si="0"/>
        <v>#DIV/0!</v>
      </c>
      <c r="AR8" s="36" t="e">
        <f t="shared" si="1"/>
        <v>#DIV/0!</v>
      </c>
      <c r="AS8" s="13"/>
      <c r="AT8">
        <v>1</v>
      </c>
      <c r="AU8">
        <v>2</v>
      </c>
      <c r="AV8">
        <v>2</v>
      </c>
      <c r="AW8">
        <v>4</v>
      </c>
      <c r="AX8">
        <v>1</v>
      </c>
    </row>
    <row r="9" spans="1:51" x14ac:dyDescent="0.2">
      <c r="A9" t="s">
        <v>0</v>
      </c>
      <c r="B9">
        <f>SUM(SkottSpelare!E7,SkottSpelare!E22,SkottSpelare!E37,SkottSpelare!E52,SkottSpelare!E67,SkottSpelare!E82,SkottSpelare!E97,SkottSpelare!E112,SkottSpelare!E127,SkottSpelare!E142,SkottSpelare!E157,SkottSpelare!E172,SkottSpelare!E187,SkottSpelare!E202,SkottSpelare!E217,SkottSpelare!E232,SkottSpelare!E247,SkottSpelare!E262,SkottSpelare!E277,SkottSpelare!E292,SkottSpelare!E307,SkottSpelare!E322,SkottSpelare!E337,SkottSpelare!E352,SkottSpelare!E367,SkottSpelare!E382,SkottSpelare!E397,SkottSpelare!E412,SkottSpelare!E427,SkottSpelare!E442,SkottSpelare!E457,SkottSpelare!E472)</f>
        <v>1</v>
      </c>
      <c r="F9" t="s">
        <v>0</v>
      </c>
      <c r="G9">
        <f>SUM(SkottSpelare!I7,SkottSpelare!I22,SkottSpelare!I37,SkottSpelare!I52,SkottSpelare!I67,SkottSpelare!I82,SkottSpelare!I97,SkottSpelare!I112,SkottSpelare!I127,SkottSpelare!I142,SkottSpelare!I157,SkottSpelare!I172,SkottSpelare!I187,SkottSpelare!I202,SkottSpelare!I217,SkottSpelare!I232,SkottSpelare!I247,SkottSpelare!I262,SkottSpelare!I277,SkottSpelare!I292,SkottSpelare!I307,SkottSpelare!I322,SkottSpelare!I337,SkottSpelare!I352,SkottSpelare!I367,SkottSpelare!I382,SkottSpelare!I397,SkottSpelare!I412,SkottSpelare!I427,SkottSpelare!I442,SkottSpelare!I457,SkottSpelare!I472)</f>
        <v>3</v>
      </c>
      <c r="N9" t="s">
        <v>0</v>
      </c>
      <c r="O9">
        <f>SUM(SkottSpelare!M7,SkottSpelare!M22,SkottSpelare!M37,SkottSpelare!M52,SkottSpelare!M67,SkottSpelare!M82,SkottSpelare!M97,SkottSpelare!M112,SkottSpelare!M127,SkottSpelare!M142,SkottSpelare!M157,SkottSpelare!M172,SkottSpelare!M187,SkottSpelare!M202,SkottSpelare!M217,SkottSpelare!M232,SkottSpelare!M247,SkottSpelare!M262,SkottSpelare!M277,SkottSpelare!M292,SkottSpelare!M307,SkottSpelare!M322,SkottSpelare!M337,SkottSpelare!M352,SkottSpelare!M367,SkottSpelare!M382,SkottSpelare!M397,SkottSpelare!M412,SkottSpelare!M427,SkottSpelare!M442,SkottSpelare!M457,SkottSpelare!M472)</f>
        <v>3</v>
      </c>
      <c r="P9" s="5"/>
      <c r="U9" s="4" t="s">
        <v>0</v>
      </c>
      <c r="V9" s="141">
        <v>1</v>
      </c>
      <c r="Z9" t="s">
        <v>0</v>
      </c>
      <c r="AH9" t="s">
        <v>0</v>
      </c>
      <c r="AJ9" s="5"/>
      <c r="AL9" s="33">
        <v>19</v>
      </c>
      <c r="AM9" s="34"/>
      <c r="AN9" s="34"/>
      <c r="AO9" s="34"/>
      <c r="AP9" s="34"/>
      <c r="AQ9" s="36" t="e">
        <f t="shared" si="0"/>
        <v>#DIV/0!</v>
      </c>
      <c r="AR9" s="36" t="e">
        <f t="shared" si="1"/>
        <v>#DIV/0!</v>
      </c>
      <c r="AS9" s="13"/>
    </row>
    <row r="10" spans="1:51" x14ac:dyDescent="0.2">
      <c r="A10" t="s">
        <v>1</v>
      </c>
      <c r="B10">
        <f>SUM(SkottSpelare!E8,SkottSpelare!E23,SkottSpelare!E38,SkottSpelare!E53,SkottSpelare!E68,SkottSpelare!E83,SkottSpelare!E98,SkottSpelare!E113,SkottSpelare!E128,SkottSpelare!E143,SkottSpelare!E158,SkottSpelare!E173,SkottSpelare!E188,SkottSpelare!E203,SkottSpelare!E218,SkottSpelare!E233,SkottSpelare!E248,SkottSpelare!E263,SkottSpelare!E278,SkottSpelare!E293,SkottSpelare!E308,SkottSpelare!E323,SkottSpelare!E338,SkottSpelare!E353,SkottSpelare!E368,SkottSpelare!E383,SkottSpelare!E398,SkottSpelare!E413,SkottSpelare!E428,SkottSpelare!E443,SkottSpelare!E458,SkottSpelare!E473)</f>
        <v>1</v>
      </c>
      <c r="F10" t="s">
        <v>1</v>
      </c>
      <c r="G10">
        <f>SUM(SkottSpelare!I8,SkottSpelare!I23,SkottSpelare!I38,SkottSpelare!I53,SkottSpelare!I68,SkottSpelare!I83,SkottSpelare!I98,SkottSpelare!I113,SkottSpelare!I128,SkottSpelare!I143,SkottSpelare!I158,SkottSpelare!I173,SkottSpelare!I188,SkottSpelare!I203,SkottSpelare!I218,SkottSpelare!I233,SkottSpelare!I248,SkottSpelare!I263,SkottSpelare!I278,SkottSpelare!I293,SkottSpelare!I308,SkottSpelare!I323,SkottSpelare!I338,SkottSpelare!I353,SkottSpelare!I368,SkottSpelare!I383,SkottSpelare!I398,SkottSpelare!I413,SkottSpelare!I428,SkottSpelare!I443,SkottSpelare!I458,SkottSpelare!I473)</f>
        <v>3</v>
      </c>
      <c r="N10" t="s">
        <v>1</v>
      </c>
      <c r="O10">
        <f>SUM(SkottSpelare!M8,SkottSpelare!M23,SkottSpelare!M38,SkottSpelare!M53,SkottSpelare!M68,SkottSpelare!M83,SkottSpelare!M98,SkottSpelare!M113,SkottSpelare!M128,SkottSpelare!M143,SkottSpelare!M158,SkottSpelare!M173,SkottSpelare!M188,SkottSpelare!M203,SkottSpelare!M218,SkottSpelare!M233,SkottSpelare!M248,SkottSpelare!M263,SkottSpelare!M278,SkottSpelare!M293,SkottSpelare!M308,SkottSpelare!M323,SkottSpelare!M338,SkottSpelare!M353,SkottSpelare!M368,SkottSpelare!M383,SkottSpelare!M398,SkottSpelare!M413,SkottSpelare!M428,SkottSpelare!M443,SkottSpelare!M458,SkottSpelare!M473)</f>
        <v>3</v>
      </c>
      <c r="P10" s="5"/>
      <c r="U10" s="4" t="s">
        <v>1</v>
      </c>
      <c r="V10" s="141">
        <v>1</v>
      </c>
      <c r="Z10" t="s">
        <v>1</v>
      </c>
      <c r="AA10">
        <v>1</v>
      </c>
      <c r="AH10" t="s">
        <v>1</v>
      </c>
      <c r="AJ10" s="5"/>
      <c r="AL10" s="33">
        <v>22</v>
      </c>
      <c r="AS10" s="13">
        <v>1</v>
      </c>
      <c r="AT10">
        <v>4</v>
      </c>
      <c r="AU10">
        <v>1</v>
      </c>
      <c r="AV10">
        <v>2</v>
      </c>
      <c r="AW10">
        <v>1</v>
      </c>
      <c r="AY10">
        <v>1</v>
      </c>
    </row>
    <row r="11" spans="1:51" x14ac:dyDescent="0.2">
      <c r="A11" t="s">
        <v>2</v>
      </c>
      <c r="B11">
        <f>SUM(SkottSpelare!E9,SkottSpelare!E24,SkottSpelare!E39,SkottSpelare!E54,SkottSpelare!E69,SkottSpelare!E84,SkottSpelare!E99,SkottSpelare!E114,SkottSpelare!E129,SkottSpelare!E144,SkottSpelare!E159,SkottSpelare!E174,SkottSpelare!E189,SkottSpelare!E204,SkottSpelare!E219,SkottSpelare!E234,SkottSpelare!E249,SkottSpelare!E264,SkottSpelare!E279,SkottSpelare!E294,SkottSpelare!E309,SkottSpelare!E324,SkottSpelare!E339,SkottSpelare!E354,SkottSpelare!E369,SkottSpelare!E384,SkottSpelare!E399,SkottSpelare!E414,SkottSpelare!E429,SkottSpelare!E444,SkottSpelare!E459,SkottSpelare!E474)</f>
        <v>0</v>
      </c>
      <c r="F11" t="s">
        <v>2</v>
      </c>
      <c r="G11">
        <f>SUM(SkottSpelare!I9,SkottSpelare!I24,SkottSpelare!I39,SkottSpelare!I54,SkottSpelare!I69,SkottSpelare!I84,SkottSpelare!I99,SkottSpelare!I114,SkottSpelare!I129,SkottSpelare!I144,SkottSpelare!I159,SkottSpelare!I174,SkottSpelare!I189,SkottSpelare!I204,SkottSpelare!I219,SkottSpelare!I234,SkottSpelare!I249,SkottSpelare!I264,SkottSpelare!I279,SkottSpelare!I294,SkottSpelare!I309,SkottSpelare!I324,SkottSpelare!I339,SkottSpelare!I354,SkottSpelare!I369,SkottSpelare!I384,SkottSpelare!I399,SkottSpelare!I414,SkottSpelare!I429,SkottSpelare!I444,SkottSpelare!I459,SkottSpelare!I474)</f>
        <v>3</v>
      </c>
      <c r="N11" t="s">
        <v>2</v>
      </c>
      <c r="O11">
        <f>SUM(SkottSpelare!M9,SkottSpelare!M24,SkottSpelare!M39,SkottSpelare!M54,SkottSpelare!M69,SkottSpelare!M84,SkottSpelare!M99,SkottSpelare!M114,SkottSpelare!M129,SkottSpelare!M144,SkottSpelare!M159,SkottSpelare!M174,SkottSpelare!M189,SkottSpelare!M204,SkottSpelare!M219,SkottSpelare!M234,SkottSpelare!M249,SkottSpelare!M264,SkottSpelare!M279,SkottSpelare!M294,SkottSpelare!M309,SkottSpelare!M324,SkottSpelare!M339,SkottSpelare!M354,SkottSpelare!M369,SkottSpelare!M384,SkottSpelare!M399,SkottSpelare!M414,SkottSpelare!M429,SkottSpelare!M444,SkottSpelare!M459,SkottSpelare!M474)</f>
        <v>1</v>
      </c>
      <c r="P11" s="5"/>
      <c r="U11" s="4" t="s">
        <v>2</v>
      </c>
      <c r="Z11" t="s">
        <v>2</v>
      </c>
      <c r="AH11" t="s">
        <v>2</v>
      </c>
      <c r="AI11">
        <v>2</v>
      </c>
      <c r="AJ11" s="5"/>
      <c r="AL11" s="33">
        <v>23</v>
      </c>
      <c r="AM11" s="34"/>
      <c r="AN11" s="34"/>
      <c r="AO11" s="34"/>
      <c r="AP11" s="34"/>
      <c r="AQ11" s="36" t="e">
        <f t="shared" ref="AQ11:AQ20" si="2">SUM(AM11/(AM11+AN11+AO11))</f>
        <v>#DIV/0!</v>
      </c>
      <c r="AR11" s="36" t="e">
        <f t="shared" ref="AR11:AR20" si="3">SUM(AP11/(AO11+AN11+AM11))</f>
        <v>#DIV/0!</v>
      </c>
      <c r="AS11" s="13"/>
      <c r="AT11">
        <v>1</v>
      </c>
      <c r="AV11">
        <v>2</v>
      </c>
      <c r="AW11">
        <v>2</v>
      </c>
      <c r="AY11">
        <v>3</v>
      </c>
    </row>
    <row r="12" spans="1:51" x14ac:dyDescent="0.2">
      <c r="A12" s="17" t="s">
        <v>3</v>
      </c>
      <c r="B12">
        <f>SUM(SkottSpelare!E10,SkottSpelare!E25,SkottSpelare!E40,SkottSpelare!E55,SkottSpelare!E70,SkottSpelare!E85,SkottSpelare!E100,SkottSpelare!E115,SkottSpelare!E130,SkottSpelare!E145,SkottSpelare!E160,SkottSpelare!E175,SkottSpelare!E190,SkottSpelare!E205,SkottSpelare!E220,SkottSpelare!E235,SkottSpelare!E250,SkottSpelare!E265,SkottSpelare!E280,SkottSpelare!E295,SkottSpelare!E310,SkottSpelare!E325,SkottSpelare!E340,SkottSpelare!E355,SkottSpelare!E370,SkottSpelare!E385,SkottSpelare!E400,SkottSpelare!E415,SkottSpelare!E430,SkottSpelare!E445,SkottSpelare!E460,SkottSpelare!E475)</f>
        <v>0</v>
      </c>
      <c r="F12" s="17" t="s">
        <v>3</v>
      </c>
      <c r="G12">
        <f>SUM(SkottSpelare!I10,SkottSpelare!I25,SkottSpelare!I40,SkottSpelare!I55,SkottSpelare!I70,SkottSpelare!I85,SkottSpelare!I100,SkottSpelare!I115,SkottSpelare!I130,SkottSpelare!I145,SkottSpelare!I160,SkottSpelare!I175,SkottSpelare!I190,SkottSpelare!I205,SkottSpelare!I220,SkottSpelare!I235,SkottSpelare!I250,SkottSpelare!I265,SkottSpelare!I280,SkottSpelare!I295,SkottSpelare!I310,SkottSpelare!I325,SkottSpelare!I340,SkottSpelare!I355,SkottSpelare!I370,SkottSpelare!I385,SkottSpelare!I400,SkottSpelare!I415,SkottSpelare!I430,SkottSpelare!I445,SkottSpelare!I460,SkottSpelare!I475)</f>
        <v>1</v>
      </c>
      <c r="N12" s="17" t="s">
        <v>3</v>
      </c>
      <c r="O12">
        <f>SUM(SkottSpelare!M10,SkottSpelare!M25,SkottSpelare!M40,SkottSpelare!M55,SkottSpelare!M70,SkottSpelare!M85,SkottSpelare!M100,SkottSpelare!M115,SkottSpelare!M130,SkottSpelare!M145,SkottSpelare!M160,SkottSpelare!M175,SkottSpelare!M190,SkottSpelare!M205,SkottSpelare!M220,SkottSpelare!M235,SkottSpelare!M250,SkottSpelare!M265,SkottSpelare!M280,SkottSpelare!M295,SkottSpelare!M310,SkottSpelare!M325,SkottSpelare!M340,SkottSpelare!M355,SkottSpelare!M370,SkottSpelare!M385,SkottSpelare!M400,SkottSpelare!M415,SkottSpelare!M430,SkottSpelare!M445,SkottSpelare!M460,SkottSpelare!M475)</f>
        <v>0</v>
      </c>
      <c r="P12" s="5"/>
      <c r="U12" s="26" t="s">
        <v>3</v>
      </c>
      <c r="Z12" s="17" t="s">
        <v>3</v>
      </c>
      <c r="AH12" s="17" t="s">
        <v>3</v>
      </c>
      <c r="AJ12" s="5"/>
      <c r="AL12" s="33">
        <v>24</v>
      </c>
      <c r="AQ12" s="36" t="e">
        <f t="shared" si="2"/>
        <v>#DIV/0!</v>
      </c>
      <c r="AR12" s="36" t="e">
        <f t="shared" si="3"/>
        <v>#DIV/0!</v>
      </c>
      <c r="AS12" s="13"/>
    </row>
    <row r="13" spans="1:51" x14ac:dyDescent="0.2">
      <c r="C13" s="10"/>
      <c r="D13" s="20"/>
      <c r="E13" s="20"/>
      <c r="F13" s="20"/>
      <c r="G13" s="20"/>
      <c r="H13" s="10"/>
      <c r="I13" s="20"/>
      <c r="J13" s="20"/>
      <c r="K13" s="20"/>
      <c r="L13" s="20"/>
      <c r="M13" s="10"/>
      <c r="N13" s="20"/>
      <c r="O13" s="20"/>
      <c r="P13" s="23"/>
      <c r="U13" s="4"/>
      <c r="V13" s="20"/>
      <c r="W13" s="10"/>
      <c r="X13" s="20"/>
      <c r="Y13" s="20"/>
      <c r="Z13" s="20"/>
      <c r="AA13" s="20"/>
      <c r="AB13" s="10"/>
      <c r="AC13" s="20"/>
      <c r="AD13" s="20"/>
      <c r="AE13" s="20"/>
      <c r="AF13" s="20"/>
      <c r="AG13" s="10"/>
      <c r="AH13" s="20"/>
      <c r="AI13" s="20"/>
      <c r="AJ13" s="23"/>
      <c r="AL13" s="33">
        <v>25</v>
      </c>
      <c r="AM13" s="34"/>
      <c r="AN13" s="34"/>
      <c r="AO13" s="34"/>
      <c r="AP13" s="34"/>
      <c r="AQ13" s="36" t="e">
        <f t="shared" si="2"/>
        <v>#DIV/0!</v>
      </c>
      <c r="AR13" s="36" t="e">
        <f t="shared" si="3"/>
        <v>#DIV/0!</v>
      </c>
      <c r="AS13" s="13"/>
    </row>
    <row r="14" spans="1:51" x14ac:dyDescent="0.2">
      <c r="A14" t="s">
        <v>0</v>
      </c>
      <c r="B14">
        <f>SUM(SkottSpelare!E11,SkottSpelare!E26,SkottSpelare!E41,SkottSpelare!E56,SkottSpelare!E71,SkottSpelare!E86,SkottSpelare!E101,SkottSpelare!E116,SkottSpelare!E131,SkottSpelare!E146,SkottSpelare!E161,SkottSpelare!E176,SkottSpelare!E191,SkottSpelare!E206,SkottSpelare!E221,SkottSpelare!E236,SkottSpelare!E251,SkottSpelare!E266,SkottSpelare!E281,SkottSpelare!E296,SkottSpelare!E311,SkottSpelare!E326,SkottSpelare!E341,SkottSpelare!E356,SkottSpelare!E371,SkottSpelare!E386,SkottSpelare!E401,SkottSpelare!E416,SkottSpelare!E431,SkottSpelare!E446,SkottSpelare!E461,SkottSpelare!E476)</f>
        <v>0</v>
      </c>
      <c r="C14" s="14"/>
      <c r="E14" t="s">
        <v>0</v>
      </c>
      <c r="F14">
        <f>SUM(SkottSpelare!G11,SkottSpelare!G26,SkottSpelare!G41,SkottSpelare!G56,SkottSpelare!G71,SkottSpelare!G86,SkottSpelare!G101,SkottSpelare!G116,SkottSpelare!G131,SkottSpelare!G146,SkottSpelare!G161,SkottSpelare!G176,SkottSpelare!G191,SkottSpelare!G206,SkottSpelare!G221,SkottSpelare!G236,SkottSpelare!G251,SkottSpelare!G266,SkottSpelare!G281,SkottSpelare!G296,SkottSpelare!G311,SkottSpelare!G326,SkottSpelare!G341,SkottSpelare!G356,SkottSpelare!G371,SkottSpelare!G386,SkottSpelare!G401,SkottSpelare!G416,SkottSpelare!G431,SkottSpelare!G446,SkottSpelare!G461,SkottSpelare!G476)</f>
        <v>0</v>
      </c>
      <c r="H14" s="14"/>
      <c r="J14" t="s">
        <v>0</v>
      </c>
      <c r="K14">
        <f>SUM(SkottSpelare!J11,SkottSpelare!J26,SkottSpelare!J41,SkottSpelare!J56,SkottSpelare!J71,SkottSpelare!J86,SkottSpelare!J101,SkottSpelare!J116,SkottSpelare!J131,SkottSpelare!J146,SkottSpelare!J161,SkottSpelare!J176,SkottSpelare!J191,SkottSpelare!J206,SkottSpelare!J221,SkottSpelare!J236,SkottSpelare!J251,SkottSpelare!J266,SkottSpelare!J281,SkottSpelare!J296,SkottSpelare!J311,SkottSpelare!J326,SkottSpelare!J341,SkottSpelare!J356,SkottSpelare!J371,SkottSpelare!J386,SkottSpelare!J401,SkottSpelare!J416,SkottSpelare!J431,SkottSpelare!J446,SkottSpelare!J461,SkottSpelare!J476)</f>
        <v>0</v>
      </c>
      <c r="N14" s="13" t="s">
        <v>0</v>
      </c>
      <c r="O14">
        <f>SUM(SkottSpelare!M11,SkottSpelare!M26,SkottSpelare!M41,SkottSpelare!M56,SkottSpelare!M71,SkottSpelare!M86,SkottSpelare!M101,SkottSpelare!M116,SkottSpelare!M131,SkottSpelare!M146,SkottSpelare!M161,SkottSpelare!M176,SkottSpelare!M191,SkottSpelare!M206,SkottSpelare!M221,SkottSpelare!M236,SkottSpelare!M251,SkottSpelare!M266,SkottSpelare!M281,SkottSpelare!M296,SkottSpelare!M311,SkottSpelare!M326,SkottSpelare!M341,SkottSpelare!M356,SkottSpelare!M371,SkottSpelare!M386,SkottSpelare!M401,SkottSpelare!M416,SkottSpelare!M431,SkottSpelare!M446,SkottSpelare!M461,SkottSpelare!M476)</f>
        <v>0</v>
      </c>
      <c r="P14" s="5"/>
      <c r="U14" s="4" t="s">
        <v>0</v>
      </c>
      <c r="W14" s="14"/>
      <c r="Y14" t="s">
        <v>0</v>
      </c>
      <c r="AB14" s="14"/>
      <c r="AD14" t="s">
        <v>0</v>
      </c>
      <c r="AE14">
        <v>1</v>
      </c>
      <c r="AH14" s="13" t="s">
        <v>0</v>
      </c>
      <c r="AJ14" s="5"/>
      <c r="AL14" s="33">
        <v>27</v>
      </c>
      <c r="AM14" s="34"/>
      <c r="AN14" s="34"/>
      <c r="AO14" s="34"/>
      <c r="AP14" s="34"/>
      <c r="AQ14" s="36" t="e">
        <f t="shared" si="2"/>
        <v>#DIV/0!</v>
      </c>
      <c r="AR14" s="36" t="e">
        <f t="shared" si="3"/>
        <v>#DIV/0!</v>
      </c>
      <c r="AS14" s="13"/>
      <c r="AT14">
        <v>2</v>
      </c>
      <c r="AU14">
        <v>1</v>
      </c>
      <c r="AV14">
        <v>5</v>
      </c>
      <c r="AW14">
        <v>2</v>
      </c>
      <c r="AX14">
        <v>2</v>
      </c>
      <c r="AY14">
        <v>3</v>
      </c>
    </row>
    <row r="15" spans="1:51" x14ac:dyDescent="0.2">
      <c r="A15" t="s">
        <v>1</v>
      </c>
      <c r="B15">
        <f>SUM(SkottSpelare!E12,SkottSpelare!E27,SkottSpelare!E42,SkottSpelare!E57,SkottSpelare!E72,SkottSpelare!E87,SkottSpelare!E102,SkottSpelare!E117,SkottSpelare!E132,SkottSpelare!E147,SkottSpelare!E162,SkottSpelare!E177,SkottSpelare!E192,SkottSpelare!E207,SkottSpelare!E222,SkottSpelare!E237,SkottSpelare!E252,SkottSpelare!E267,SkottSpelare!E282,SkottSpelare!E297,SkottSpelare!E312,SkottSpelare!E327,SkottSpelare!E342,SkottSpelare!E357,SkottSpelare!E372,SkottSpelare!E387,SkottSpelare!E402,SkottSpelare!E417,SkottSpelare!E432,SkottSpelare!E447,SkottSpelare!E462,SkottSpelare!E477)</f>
        <v>0</v>
      </c>
      <c r="C15" s="14"/>
      <c r="E15" t="s">
        <v>1</v>
      </c>
      <c r="F15">
        <f>SUM(SkottSpelare!G12,SkottSpelare!G27,SkottSpelare!G42,SkottSpelare!G57,SkottSpelare!G72,SkottSpelare!G87,SkottSpelare!G102,SkottSpelare!G117,SkottSpelare!G132,SkottSpelare!G147,SkottSpelare!G162,SkottSpelare!G177,SkottSpelare!G192,SkottSpelare!G207,SkottSpelare!G222,SkottSpelare!G237,SkottSpelare!G252,SkottSpelare!G267,SkottSpelare!G282,SkottSpelare!G297,SkottSpelare!G312,SkottSpelare!G327,SkottSpelare!G342,SkottSpelare!G357,SkottSpelare!G372,SkottSpelare!G387,SkottSpelare!G402,SkottSpelare!G417,SkottSpelare!G432,SkottSpelare!G447,SkottSpelare!G462,SkottSpelare!G477)</f>
        <v>0</v>
      </c>
      <c r="H15" s="14"/>
      <c r="J15" t="s">
        <v>1</v>
      </c>
      <c r="K15">
        <f>SUM(SkottSpelare!J12,SkottSpelare!J27,SkottSpelare!J42,SkottSpelare!J57,SkottSpelare!J72,SkottSpelare!J87,SkottSpelare!J102,SkottSpelare!J117,SkottSpelare!J132,SkottSpelare!J147,SkottSpelare!J162,SkottSpelare!J177,SkottSpelare!J192,SkottSpelare!J207,SkottSpelare!J222,SkottSpelare!J237,SkottSpelare!J252,SkottSpelare!J267,SkottSpelare!J282,SkottSpelare!J297,SkottSpelare!J312,SkottSpelare!J327,SkottSpelare!J342,SkottSpelare!J357,SkottSpelare!J372,SkottSpelare!J387,SkottSpelare!J402,SkottSpelare!J417,SkottSpelare!J432,SkottSpelare!J447,SkottSpelare!J462,SkottSpelare!J477)</f>
        <v>1</v>
      </c>
      <c r="N15" s="13" t="s">
        <v>1</v>
      </c>
      <c r="O15">
        <f>SUM(SkottSpelare!M12,SkottSpelare!M27,SkottSpelare!M42,SkottSpelare!M57,SkottSpelare!M72,SkottSpelare!M87,SkottSpelare!M102,SkottSpelare!M117,SkottSpelare!M132,SkottSpelare!M147,SkottSpelare!M162,SkottSpelare!M177,SkottSpelare!M192,SkottSpelare!M207,SkottSpelare!M222,SkottSpelare!M237,SkottSpelare!M252,SkottSpelare!M267,SkottSpelare!M282,SkottSpelare!M297,SkottSpelare!M312,SkottSpelare!M327,SkottSpelare!M342,SkottSpelare!M357,SkottSpelare!M372,SkottSpelare!M387,SkottSpelare!M402,SkottSpelare!M417,SkottSpelare!M432,SkottSpelare!M447,SkottSpelare!M462,SkottSpelare!M477)</f>
        <v>0</v>
      </c>
      <c r="P15" s="5"/>
      <c r="U15" s="4" t="s">
        <v>1</v>
      </c>
      <c r="V15">
        <v>1</v>
      </c>
      <c r="W15" s="14"/>
      <c r="Y15" t="s">
        <v>1</v>
      </c>
      <c r="AB15" s="14"/>
      <c r="AD15" t="s">
        <v>1</v>
      </c>
      <c r="AH15" s="13" t="s">
        <v>1</v>
      </c>
      <c r="AJ15" s="5"/>
      <c r="AL15" s="33">
        <v>28</v>
      </c>
      <c r="AM15" s="34"/>
      <c r="AN15" s="34"/>
      <c r="AO15" s="34"/>
      <c r="AP15" s="34"/>
      <c r="AQ15" s="36" t="e">
        <f t="shared" si="2"/>
        <v>#DIV/0!</v>
      </c>
      <c r="AR15" s="36" t="e">
        <f t="shared" si="3"/>
        <v>#DIV/0!</v>
      </c>
      <c r="AS15" s="13">
        <v>1</v>
      </c>
      <c r="AT15">
        <v>1</v>
      </c>
      <c r="AW15">
        <v>3</v>
      </c>
      <c r="AY15">
        <v>1</v>
      </c>
    </row>
    <row r="16" spans="1:51" x14ac:dyDescent="0.2">
      <c r="A16" t="s">
        <v>2</v>
      </c>
      <c r="B16">
        <f>SUM(SkottSpelare!E13,SkottSpelare!E28,SkottSpelare!E43,SkottSpelare!E58,SkottSpelare!E73,SkottSpelare!E88,SkottSpelare!E103,SkottSpelare!E118,SkottSpelare!E133,SkottSpelare!E148,SkottSpelare!E163,SkottSpelare!E178,SkottSpelare!E193,SkottSpelare!E208,SkottSpelare!E223,SkottSpelare!E238,SkottSpelare!E253,SkottSpelare!E268,SkottSpelare!E283,SkottSpelare!E298,SkottSpelare!E313,SkottSpelare!E328,SkottSpelare!E343,SkottSpelare!E358,SkottSpelare!E373,SkottSpelare!E388,SkottSpelare!E403,SkottSpelare!E418,SkottSpelare!E433,SkottSpelare!E448,SkottSpelare!E463,SkottSpelare!E478)</f>
        <v>1</v>
      </c>
      <c r="C16" s="14"/>
      <c r="E16" t="s">
        <v>2</v>
      </c>
      <c r="F16">
        <f>SUM(SkottSpelare!G13,SkottSpelare!G28,SkottSpelare!G43,SkottSpelare!G58,SkottSpelare!G73,SkottSpelare!G88,SkottSpelare!G103,SkottSpelare!G118,SkottSpelare!G133,SkottSpelare!G148,SkottSpelare!G163,SkottSpelare!G178,SkottSpelare!G193,SkottSpelare!G208,SkottSpelare!G223,SkottSpelare!G238,SkottSpelare!G253,SkottSpelare!G268,SkottSpelare!G283,SkottSpelare!G298,SkottSpelare!G313,SkottSpelare!G328,SkottSpelare!G343,SkottSpelare!G358,SkottSpelare!G373,SkottSpelare!G388,SkottSpelare!G403,SkottSpelare!G418,SkottSpelare!G433,SkottSpelare!G448,SkottSpelare!G463,SkottSpelare!G478)</f>
        <v>2</v>
      </c>
      <c r="H16" s="14"/>
      <c r="J16" t="s">
        <v>2</v>
      </c>
      <c r="K16">
        <f>SUM(SkottSpelare!J13,SkottSpelare!J28,SkottSpelare!J43,SkottSpelare!J58,SkottSpelare!J73,SkottSpelare!J88,SkottSpelare!J103,SkottSpelare!J118,SkottSpelare!J133,SkottSpelare!J148,SkottSpelare!J163,SkottSpelare!J178,SkottSpelare!J193,SkottSpelare!J208,SkottSpelare!J223,SkottSpelare!J238,SkottSpelare!J253,SkottSpelare!J268,SkottSpelare!J283,SkottSpelare!J298,SkottSpelare!J313,SkottSpelare!J328,SkottSpelare!J343,SkottSpelare!J358,SkottSpelare!J373,SkottSpelare!J388,SkottSpelare!J403,SkottSpelare!J418,SkottSpelare!J433,SkottSpelare!J448,SkottSpelare!J463,SkottSpelare!J478)</f>
        <v>1</v>
      </c>
      <c r="N16" s="13" t="s">
        <v>2</v>
      </c>
      <c r="O16">
        <f>SUM(SkottSpelare!M13,SkottSpelare!M28,SkottSpelare!M43,SkottSpelare!M58,SkottSpelare!M73,SkottSpelare!M88,SkottSpelare!M103,SkottSpelare!M118,SkottSpelare!M133,SkottSpelare!M148,SkottSpelare!M163,SkottSpelare!M178,SkottSpelare!M193,SkottSpelare!M208,SkottSpelare!M223,SkottSpelare!M238,SkottSpelare!M253,SkottSpelare!M268,SkottSpelare!M283,SkottSpelare!M298,SkottSpelare!M313,SkottSpelare!M328,SkottSpelare!M343,SkottSpelare!M358,SkottSpelare!M373,SkottSpelare!M388,SkottSpelare!M403,SkottSpelare!M418,SkottSpelare!M433,SkottSpelare!M448,SkottSpelare!M463,SkottSpelare!M478)</f>
        <v>0</v>
      </c>
      <c r="P16" s="5"/>
      <c r="U16" s="4" t="s">
        <v>2</v>
      </c>
      <c r="W16" s="14"/>
      <c r="Y16" t="s">
        <v>2</v>
      </c>
      <c r="AB16" s="14"/>
      <c r="AD16" t="s">
        <v>2</v>
      </c>
      <c r="AH16" s="13" t="s">
        <v>2</v>
      </c>
      <c r="AJ16" s="5"/>
      <c r="AL16" s="33">
        <v>20</v>
      </c>
      <c r="AM16" s="34"/>
      <c r="AN16" s="34"/>
      <c r="AO16" s="34"/>
      <c r="AP16" s="34"/>
      <c r="AQ16" s="36" t="e">
        <f t="shared" si="2"/>
        <v>#DIV/0!</v>
      </c>
      <c r="AR16" s="36" t="e">
        <f t="shared" si="3"/>
        <v>#DIV/0!</v>
      </c>
      <c r="AS16" s="13"/>
      <c r="AT16">
        <v>3</v>
      </c>
      <c r="AU16">
        <v>1</v>
      </c>
      <c r="AW16">
        <v>2</v>
      </c>
    </row>
    <row r="17" spans="1:51" x14ac:dyDescent="0.2">
      <c r="A17" t="s">
        <v>3</v>
      </c>
      <c r="B17">
        <f>SUM(SkottSpelare!E14,SkottSpelare!E29,SkottSpelare!E44,SkottSpelare!E59,SkottSpelare!E74,SkottSpelare!E89,SkottSpelare!E104,SkottSpelare!E119,SkottSpelare!E134,SkottSpelare!E149,SkottSpelare!E164,SkottSpelare!E179,SkottSpelare!E194,SkottSpelare!E209,SkottSpelare!E224,SkottSpelare!E239,SkottSpelare!E254,SkottSpelare!E269,SkottSpelare!E284,SkottSpelare!E299,SkottSpelare!E314,SkottSpelare!E329,SkottSpelare!E344,SkottSpelare!E359,SkottSpelare!E374,SkottSpelare!E389,SkottSpelare!E404,SkottSpelare!E419,SkottSpelare!E434,SkottSpelare!E449,SkottSpelare!E464,SkottSpelare!E479)</f>
        <v>0</v>
      </c>
      <c r="C17" s="14"/>
      <c r="E17" t="s">
        <v>3</v>
      </c>
      <c r="F17">
        <f>SUM(SkottSpelare!G14,SkottSpelare!G29,SkottSpelare!G44,SkottSpelare!G59,SkottSpelare!G74,SkottSpelare!G89,SkottSpelare!G104,SkottSpelare!G119,SkottSpelare!G134,SkottSpelare!G149,SkottSpelare!G164,SkottSpelare!G179,SkottSpelare!G194,SkottSpelare!G209,SkottSpelare!G224,SkottSpelare!G239,SkottSpelare!G254,SkottSpelare!G269,SkottSpelare!G284,SkottSpelare!G299,SkottSpelare!G314,SkottSpelare!G329,SkottSpelare!G344,SkottSpelare!G359,SkottSpelare!G374,SkottSpelare!G389,SkottSpelare!G404,SkottSpelare!G419,SkottSpelare!G434,SkottSpelare!G449,SkottSpelare!G464,SkottSpelare!G479)</f>
        <v>0</v>
      </c>
      <c r="H17" s="14"/>
      <c r="J17" t="s">
        <v>3</v>
      </c>
      <c r="K17">
        <f>SUM(SkottSpelare!J14,SkottSpelare!J29,SkottSpelare!J44,SkottSpelare!J59,SkottSpelare!J74,SkottSpelare!J89,SkottSpelare!J104,SkottSpelare!J119,SkottSpelare!J134,SkottSpelare!J149,SkottSpelare!J164,SkottSpelare!J179,SkottSpelare!J194,SkottSpelare!J209,SkottSpelare!J224,SkottSpelare!J239,SkottSpelare!J254,SkottSpelare!J269,SkottSpelare!J284,SkottSpelare!J299,SkottSpelare!J314,SkottSpelare!J329,SkottSpelare!J344,SkottSpelare!J359,SkottSpelare!J374,SkottSpelare!J389,SkottSpelare!J404,SkottSpelare!J419,SkottSpelare!J434,SkottSpelare!J449,SkottSpelare!J464,SkottSpelare!J479)</f>
        <v>0</v>
      </c>
      <c r="N17" s="13" t="s">
        <v>3</v>
      </c>
      <c r="O17">
        <f>SUM(SkottSpelare!M14,SkottSpelare!M29,SkottSpelare!M44,SkottSpelare!M59,SkottSpelare!M74,SkottSpelare!M89,SkottSpelare!M104,SkottSpelare!M119,SkottSpelare!M134,SkottSpelare!M149,SkottSpelare!M164,SkottSpelare!M179,SkottSpelare!M194,SkottSpelare!M209,SkottSpelare!M224,SkottSpelare!M239,SkottSpelare!M254,SkottSpelare!M269,SkottSpelare!M284,SkottSpelare!M299,SkottSpelare!M314,SkottSpelare!M329,SkottSpelare!M344,SkottSpelare!M359,SkottSpelare!M374,SkottSpelare!M389,SkottSpelare!M404,SkottSpelare!M419,SkottSpelare!M434,SkottSpelare!M449,SkottSpelare!M464,SkottSpelare!M479)</f>
        <v>0</v>
      </c>
      <c r="P17" s="5"/>
      <c r="U17" s="4" t="s">
        <v>3</v>
      </c>
      <c r="W17" s="14"/>
      <c r="Y17" t="s">
        <v>3</v>
      </c>
      <c r="AB17" s="14"/>
      <c r="AD17" t="s">
        <v>3</v>
      </c>
      <c r="AH17" s="13" t="s">
        <v>3</v>
      </c>
      <c r="AJ17" s="5"/>
      <c r="AL17" s="33">
        <v>21</v>
      </c>
      <c r="AM17" s="34"/>
      <c r="AN17" s="34"/>
      <c r="AO17" s="34"/>
      <c r="AP17" s="34"/>
      <c r="AQ17" s="36" t="e">
        <f t="shared" si="2"/>
        <v>#DIV/0!</v>
      </c>
      <c r="AR17" s="36" t="e">
        <f t="shared" si="3"/>
        <v>#DIV/0!</v>
      </c>
      <c r="AS17" s="13"/>
      <c r="AT17">
        <v>6</v>
      </c>
      <c r="AU17">
        <v>4</v>
      </c>
      <c r="AV17">
        <v>1</v>
      </c>
      <c r="AW17">
        <v>10</v>
      </c>
      <c r="AX17">
        <v>1</v>
      </c>
      <c r="AY17">
        <v>2</v>
      </c>
    </row>
    <row r="18" spans="1:51" x14ac:dyDescent="0.2">
      <c r="A18" s="4"/>
      <c r="C18" s="14"/>
      <c r="H18" s="14"/>
      <c r="N18" s="13"/>
      <c r="P18" s="5"/>
      <c r="U18" s="4"/>
      <c r="W18" s="14"/>
      <c r="AB18" s="14"/>
      <c r="AH18" s="13"/>
      <c r="AJ18" s="5"/>
      <c r="AL18" s="33">
        <v>39</v>
      </c>
      <c r="AM18" s="34"/>
      <c r="AN18" s="34"/>
      <c r="AO18" s="34"/>
      <c r="AP18" s="34"/>
      <c r="AQ18" s="36" t="e">
        <f t="shared" si="2"/>
        <v>#DIV/0!</v>
      </c>
      <c r="AR18" s="36" t="e">
        <f t="shared" si="3"/>
        <v>#DIV/0!</v>
      </c>
      <c r="AS18" s="13"/>
      <c r="AT18">
        <v>6</v>
      </c>
      <c r="AV18">
        <v>4</v>
      </c>
      <c r="AW18">
        <v>1</v>
      </c>
      <c r="AX18">
        <v>1</v>
      </c>
      <c r="AY18">
        <v>3</v>
      </c>
    </row>
    <row r="19" spans="1:51" ht="17" thickBot="1" x14ac:dyDescent="0.25">
      <c r="A19" s="6"/>
      <c r="B19" s="7"/>
      <c r="C19" s="24"/>
      <c r="D19" s="7"/>
      <c r="E19" s="7"/>
      <c r="F19" s="7"/>
      <c r="G19" s="7"/>
      <c r="H19" s="24"/>
      <c r="I19" s="7"/>
      <c r="J19" s="7"/>
      <c r="K19" s="7"/>
      <c r="L19" s="7"/>
      <c r="M19" s="7"/>
      <c r="N19" s="25"/>
      <c r="O19" s="7"/>
      <c r="P19" s="8"/>
      <c r="U19" s="6"/>
      <c r="V19" s="7"/>
      <c r="W19" s="24"/>
      <c r="X19" s="7"/>
      <c r="Y19" s="7"/>
      <c r="Z19" s="7"/>
      <c r="AA19" s="7"/>
      <c r="AB19" s="24"/>
      <c r="AC19" s="7"/>
      <c r="AD19" s="7"/>
      <c r="AE19" s="7"/>
      <c r="AF19" s="7"/>
      <c r="AG19" s="7"/>
      <c r="AH19" s="25"/>
      <c r="AI19" s="7"/>
      <c r="AJ19" s="8"/>
      <c r="AL19" s="33">
        <v>40</v>
      </c>
      <c r="AM19" s="34"/>
      <c r="AN19" s="34"/>
      <c r="AO19" s="34"/>
      <c r="AP19" s="34"/>
      <c r="AQ19" s="36" t="e">
        <f t="shared" si="2"/>
        <v>#DIV/0!</v>
      </c>
      <c r="AR19" s="36" t="e">
        <f t="shared" si="3"/>
        <v>#DIV/0!</v>
      </c>
      <c r="AS19" s="13"/>
      <c r="AV19">
        <v>1</v>
      </c>
      <c r="AW19">
        <v>1</v>
      </c>
      <c r="AX19">
        <v>1</v>
      </c>
    </row>
    <row r="20" spans="1:51" x14ac:dyDescent="0.2">
      <c r="AL20" s="33">
        <v>41</v>
      </c>
      <c r="AM20" s="34"/>
      <c r="AN20" s="34"/>
      <c r="AO20" s="34"/>
      <c r="AP20" s="34"/>
      <c r="AQ20" s="36" t="e">
        <f t="shared" si="2"/>
        <v>#DIV/0!</v>
      </c>
      <c r="AR20" s="36" t="e">
        <f t="shared" si="3"/>
        <v>#DIV/0!</v>
      </c>
      <c r="AS20" s="13"/>
    </row>
    <row r="21" spans="1:51" x14ac:dyDescent="0.2">
      <c r="A21" s="27" t="s">
        <v>6</v>
      </c>
      <c r="B21" s="27"/>
      <c r="D21" t="s">
        <v>7</v>
      </c>
      <c r="E21" s="123" t="s">
        <v>8</v>
      </c>
      <c r="F21" s="123"/>
      <c r="G21" s="123"/>
      <c r="H21" t="s">
        <v>7</v>
      </c>
      <c r="J21" s="124"/>
      <c r="K21" s="124"/>
      <c r="L21" s="124"/>
      <c r="M21" s="124"/>
      <c r="AL21" s="33">
        <v>52</v>
      </c>
      <c r="AS21" s="13">
        <v>1</v>
      </c>
      <c r="AT21">
        <v>1</v>
      </c>
      <c r="AU21">
        <v>2</v>
      </c>
      <c r="AW21">
        <v>10</v>
      </c>
    </row>
    <row r="22" spans="1:51" x14ac:dyDescent="0.2">
      <c r="A22" s="17" t="s">
        <v>9</v>
      </c>
      <c r="B22" s="17"/>
      <c r="C22" s="18">
        <f>SUM(B4,I4,O4,B9,G9,O9,B14,F14,K14,O14)</f>
        <v>9</v>
      </c>
      <c r="D22" s="17"/>
      <c r="E22" s="17" t="s">
        <v>9</v>
      </c>
      <c r="F22" s="17"/>
      <c r="G22" s="18">
        <f>SUM(V4,V9,V14,Z14,AA9,AC4,AE14,AI14,AI9,AI4)</f>
        <v>4</v>
      </c>
      <c r="H22" s="17"/>
      <c r="J22" s="125" t="s">
        <v>19</v>
      </c>
      <c r="K22" s="125"/>
      <c r="L22" s="125"/>
      <c r="M22" s="125"/>
      <c r="N22" s="125"/>
      <c r="O22" s="125"/>
      <c r="T22" s="27" t="s">
        <v>28</v>
      </c>
      <c r="AL22" s="33">
        <v>96</v>
      </c>
      <c r="AM22" s="34"/>
      <c r="AN22" s="34"/>
      <c r="AO22" s="34"/>
      <c r="AP22" s="34"/>
      <c r="AQ22" s="36" t="e">
        <f>SUM(AM22/(AM22+AN22+AO22))</f>
        <v>#DIV/0!</v>
      </c>
      <c r="AR22" s="36" t="e">
        <f>SUM(AP22/(AO22+AN22+AM22))</f>
        <v>#DIV/0!</v>
      </c>
      <c r="AS22" s="13"/>
    </row>
    <row r="23" spans="1:51" x14ac:dyDescent="0.2">
      <c r="A23" s="28" t="s">
        <v>10</v>
      </c>
      <c r="B23" s="28"/>
      <c r="C23" s="18">
        <f>SUM(B5,I5,O5,B10,G10,O10,B15,F15,K15,O15)</f>
        <v>8</v>
      </c>
      <c r="D23" s="28"/>
      <c r="E23" s="28" t="s">
        <v>10</v>
      </c>
      <c r="F23" s="28"/>
      <c r="G23" s="18">
        <f>SUM(V5,V10,V15,AA10,AC5,Z15,AE15,AI5,AI10,AI15)</f>
        <v>3</v>
      </c>
      <c r="H23" s="28"/>
      <c r="J23" s="98" t="s">
        <v>20</v>
      </c>
      <c r="K23" s="99"/>
      <c r="L23" s="98" t="s">
        <v>21</v>
      </c>
      <c r="M23" s="99"/>
      <c r="N23" s="128" t="s">
        <v>22</v>
      </c>
      <c r="O23" s="129"/>
      <c r="T23" s="15" t="s">
        <v>29</v>
      </c>
      <c r="U23" s="16" t="s">
        <v>7</v>
      </c>
      <c r="V23" s="98" t="s">
        <v>15</v>
      </c>
      <c r="W23" s="99"/>
      <c r="X23" s="98" t="s">
        <v>16</v>
      </c>
      <c r="Y23" s="99"/>
      <c r="AL23" s="33">
        <v>43</v>
      </c>
      <c r="AM23" s="34"/>
      <c r="AN23" s="34"/>
      <c r="AO23" s="34"/>
      <c r="AP23" s="34"/>
      <c r="AQ23" s="36" t="e">
        <f>SUM(AM23/(AM23+AN23+AO23))</f>
        <v>#DIV/0!</v>
      </c>
      <c r="AR23" s="36" t="e">
        <f>SUM(AP23/(AO23+AN23+AM23))</f>
        <v>#DIV/0!</v>
      </c>
      <c r="AS23" s="13"/>
      <c r="AT23">
        <v>2</v>
      </c>
      <c r="AV23">
        <v>2</v>
      </c>
      <c r="AW23">
        <v>1</v>
      </c>
    </row>
    <row r="24" spans="1:51" x14ac:dyDescent="0.2">
      <c r="A24" s="28" t="s">
        <v>11</v>
      </c>
      <c r="B24" s="28"/>
      <c r="C24" s="18">
        <f>SUM(B6,I6,O6,B11,G11,O11,B16,F16,K16,O16)</f>
        <v>10</v>
      </c>
      <c r="D24" s="28"/>
      <c r="E24" s="28" t="s">
        <v>11</v>
      </c>
      <c r="F24" s="28"/>
      <c r="G24" s="18">
        <f>SUM(V6,V11,V16,AA11,AC6,Z16,AE16,AI6,AI11,AI16)</f>
        <v>3</v>
      </c>
      <c r="H24" s="28"/>
      <c r="J24" s="9" t="s">
        <v>27</v>
      </c>
      <c r="K24" s="20"/>
      <c r="L24" s="9" t="s">
        <v>27</v>
      </c>
      <c r="M24" s="20"/>
      <c r="N24" s="9" t="s">
        <v>27</v>
      </c>
      <c r="O24" s="10"/>
      <c r="T24" s="100">
        <v>7</v>
      </c>
      <c r="U24" s="101"/>
      <c r="V24" s="100">
        <v>3</v>
      </c>
      <c r="W24" s="101"/>
      <c r="X24" s="100">
        <v>4</v>
      </c>
      <c r="Y24" s="101"/>
      <c r="AL24" s="33">
        <v>97</v>
      </c>
      <c r="AS24" s="13"/>
    </row>
    <row r="25" spans="1:51" x14ac:dyDescent="0.2">
      <c r="A25" s="17" t="s">
        <v>12</v>
      </c>
      <c r="B25" s="17"/>
      <c r="C25" s="18">
        <f>SUM(B7,I7,O7,O12,G12,B12,B17,F17,K17,O17)</f>
        <v>1</v>
      </c>
      <c r="D25" s="28"/>
      <c r="E25" s="28" t="s">
        <v>12</v>
      </c>
      <c r="F25" s="28"/>
      <c r="G25" s="18">
        <f>SUM(V7,V12,V17,Z17,AA12,AC7,AE17,AI7,AI12,AI17)</f>
        <v>1</v>
      </c>
      <c r="H25" s="28"/>
      <c r="J25" s="13" t="s">
        <v>16</v>
      </c>
      <c r="L25" s="13" t="s">
        <v>16</v>
      </c>
      <c r="N25" s="13" t="s">
        <v>16</v>
      </c>
      <c r="O25" s="14"/>
      <c r="T25" s="102"/>
      <c r="U25" s="103"/>
      <c r="V25" s="102"/>
      <c r="W25" s="103"/>
      <c r="X25" s="102"/>
      <c r="Y25" s="103"/>
      <c r="AL25" s="33" t="s">
        <v>54</v>
      </c>
      <c r="AM25" s="34"/>
      <c r="AN25" s="34"/>
      <c r="AO25" s="34"/>
      <c r="AP25" s="34"/>
      <c r="AQ25" s="36" t="e">
        <f>SUM(AM25/(AM25+AN25+AO25))</f>
        <v>#DIV/0!</v>
      </c>
      <c r="AR25" s="36" t="e">
        <f>SUM(AP25/(AO25+AN25+AM25))</f>
        <v>#DIV/0!</v>
      </c>
    </row>
    <row r="26" spans="1:51" x14ac:dyDescent="0.2">
      <c r="C26" s="18"/>
      <c r="G26" s="18"/>
      <c r="J26" s="11"/>
      <c r="K26" s="17"/>
      <c r="L26" s="11"/>
      <c r="M26" s="17"/>
      <c r="N26" s="11"/>
      <c r="O26" s="12"/>
      <c r="T26" s="102"/>
      <c r="U26" s="103"/>
      <c r="V26" s="102"/>
      <c r="W26" s="103"/>
      <c r="X26" s="102"/>
      <c r="Y26" s="103"/>
      <c r="AL26" s="33" t="s">
        <v>54</v>
      </c>
      <c r="AM26" s="34"/>
      <c r="AN26" s="34"/>
      <c r="AO26" s="34"/>
      <c r="AP26" s="34"/>
      <c r="AQ26" s="36" t="e">
        <f>SUM(AM26/(AM26+AN26+AO26))</f>
        <v>#DIV/0!</v>
      </c>
      <c r="AR26" s="36" t="e">
        <f>SUM(AP26/(AO26+AN26+AM26))</f>
        <v>#DIV/0!</v>
      </c>
    </row>
    <row r="27" spans="1:51" x14ac:dyDescent="0.2">
      <c r="A27" s="98" t="s">
        <v>13</v>
      </c>
      <c r="B27" s="126"/>
      <c r="C27" s="126"/>
      <c r="D27" s="99"/>
      <c r="E27" s="98" t="s">
        <v>14</v>
      </c>
      <c r="F27" s="126"/>
      <c r="G27" s="126"/>
      <c r="H27" s="99"/>
      <c r="T27" s="104"/>
      <c r="U27" s="105"/>
      <c r="V27" s="104"/>
      <c r="W27" s="105"/>
      <c r="X27" s="104"/>
      <c r="Y27" s="105"/>
      <c r="AL27" s="33" t="s">
        <v>54</v>
      </c>
      <c r="AM27" s="34"/>
      <c r="AN27" s="34"/>
      <c r="AO27" s="34"/>
      <c r="AP27" s="34"/>
      <c r="AQ27" s="36" t="e">
        <f>SUM(AM27/(AM27+AN27+AO27))</f>
        <v>#DIV/0!</v>
      </c>
      <c r="AR27" s="36" t="e">
        <f>SUM(AP27/(AO27+AN27+AM27))</f>
        <v>#DIV/0!</v>
      </c>
    </row>
    <row r="28" spans="1:51" x14ac:dyDescent="0.2">
      <c r="A28" s="98" t="s">
        <v>15</v>
      </c>
      <c r="B28" s="99"/>
      <c r="C28" s="98" t="s">
        <v>16</v>
      </c>
      <c r="D28" s="99"/>
      <c r="E28" s="29" t="s">
        <v>17</v>
      </c>
      <c r="F28" s="28"/>
      <c r="G28" s="29" t="s">
        <v>18</v>
      </c>
      <c r="H28" s="16"/>
      <c r="J28" s="118" t="s">
        <v>23</v>
      </c>
      <c r="K28" s="127"/>
      <c r="L28" s="106" t="s">
        <v>24</v>
      </c>
      <c r="M28" s="108"/>
      <c r="N28" s="106" t="s">
        <v>25</v>
      </c>
      <c r="O28" s="108"/>
      <c r="P28" s="30" t="s">
        <v>26</v>
      </c>
      <c r="AL28" s="33" t="s">
        <v>54</v>
      </c>
      <c r="AM28" s="34"/>
      <c r="AN28" s="34"/>
      <c r="AO28" s="34"/>
      <c r="AP28" s="34"/>
      <c r="AQ28" s="36" t="e">
        <f>SUM(AM28/(AM28+AN28+AO28))</f>
        <v>#DIV/0!</v>
      </c>
      <c r="AR28" s="36" t="e">
        <f>SUM(AP28/(AO28+AN28+AM28))</f>
        <v>#DIV/0!</v>
      </c>
      <c r="AS28" s="34"/>
      <c r="AT28" s="34"/>
    </row>
    <row r="29" spans="1:51" ht="19" x14ac:dyDescent="0.25">
      <c r="A29" s="13">
        <v>4</v>
      </c>
      <c r="B29" s="14"/>
      <c r="C29" s="9">
        <v>2</v>
      </c>
      <c r="D29" s="20"/>
      <c r="E29" s="9"/>
      <c r="F29" s="20"/>
      <c r="G29" s="9"/>
      <c r="H29" s="10"/>
      <c r="J29" s="15">
        <f>SUM(G22)</f>
        <v>4</v>
      </c>
      <c r="K29" s="16"/>
      <c r="L29" s="15">
        <f>SUM(G22-G25)</f>
        <v>3</v>
      </c>
      <c r="M29" s="16"/>
      <c r="N29" s="15">
        <f>SUM(G25)</f>
        <v>1</v>
      </c>
      <c r="O29" s="16"/>
      <c r="P29" s="130">
        <f>SUM(L29/J29)</f>
        <v>0.75</v>
      </c>
      <c r="Q29" s="131"/>
      <c r="T29" s="27" t="s">
        <v>142</v>
      </c>
    </row>
    <row r="30" spans="1:51" x14ac:dyDescent="0.2">
      <c r="A30" s="13"/>
      <c r="B30" s="14"/>
      <c r="C30" s="13"/>
      <c r="E30" s="13"/>
      <c r="G30" s="13"/>
      <c r="H30" s="14"/>
      <c r="T30" s="15" t="s">
        <v>29</v>
      </c>
      <c r="U30" s="16" t="s">
        <v>7</v>
      </c>
      <c r="V30" s="98" t="s">
        <v>15</v>
      </c>
      <c r="W30" s="99"/>
      <c r="X30" s="98" t="s">
        <v>16</v>
      </c>
      <c r="Y30" s="99"/>
    </row>
    <row r="31" spans="1:51" x14ac:dyDescent="0.2">
      <c r="A31" s="13"/>
      <c r="B31" s="14"/>
      <c r="C31" s="13"/>
      <c r="E31" s="13"/>
      <c r="G31" s="13"/>
      <c r="H31" s="14"/>
      <c r="J31" s="106" t="s">
        <v>60</v>
      </c>
      <c r="K31" s="107"/>
      <c r="L31" s="108"/>
      <c r="M31" s="15" t="s">
        <v>62</v>
      </c>
      <c r="N31" s="84">
        <v>10.5</v>
      </c>
      <c r="O31" s="10"/>
      <c r="T31" s="100">
        <v>10</v>
      </c>
      <c r="U31" s="101"/>
      <c r="V31" s="100">
        <v>7</v>
      </c>
      <c r="W31" s="101"/>
      <c r="X31" s="100">
        <v>3</v>
      </c>
      <c r="Y31" s="101"/>
    </row>
    <row r="32" spans="1:51" x14ac:dyDescent="0.2">
      <c r="A32" s="13"/>
      <c r="B32" s="14"/>
      <c r="C32" s="13"/>
      <c r="E32" s="13"/>
      <c r="G32" s="13"/>
      <c r="H32" s="14"/>
      <c r="J32" s="13"/>
      <c r="K32" s="111">
        <f>N31/20</f>
        <v>0.52500000000000002</v>
      </c>
      <c r="L32" s="112"/>
      <c r="M32" s="112">
        <f>1-K32</f>
        <v>0.47499999999999998</v>
      </c>
      <c r="N32" s="115"/>
      <c r="O32" s="14"/>
      <c r="T32" s="102"/>
      <c r="U32" s="103"/>
      <c r="V32" s="102"/>
      <c r="W32" s="103"/>
      <c r="X32" s="102"/>
      <c r="Y32" s="103"/>
    </row>
    <row r="33" spans="1:25" x14ac:dyDescent="0.2">
      <c r="A33" s="11"/>
      <c r="B33" s="12"/>
      <c r="C33" s="11"/>
      <c r="D33" s="17"/>
      <c r="E33" s="11"/>
      <c r="F33" s="17"/>
      <c r="G33" s="11"/>
      <c r="H33" s="12"/>
      <c r="J33" s="11"/>
      <c r="K33" s="113"/>
      <c r="L33" s="114"/>
      <c r="M33" s="114"/>
      <c r="N33" s="116"/>
      <c r="O33" s="12"/>
      <c r="T33" s="102"/>
      <c r="U33" s="103"/>
      <c r="V33" s="102"/>
      <c r="W33" s="103"/>
      <c r="X33" s="102"/>
      <c r="Y33" s="103"/>
    </row>
    <row r="34" spans="1:25" x14ac:dyDescent="0.2">
      <c r="K34" s="117" t="s">
        <v>143</v>
      </c>
      <c r="L34" s="117"/>
      <c r="M34" s="117" t="s">
        <v>61</v>
      </c>
      <c r="N34" s="117"/>
      <c r="T34" s="104"/>
      <c r="U34" s="105"/>
      <c r="V34" s="104"/>
      <c r="W34" s="105"/>
      <c r="X34" s="104"/>
      <c r="Y34" s="105"/>
    </row>
  </sheetData>
  <sortState xmlns:xlrd2="http://schemas.microsoft.com/office/spreadsheetml/2017/richdata2" ref="AL2:AU28">
    <sortCondition ref="AL2:AL28"/>
  </sortState>
  <mergeCells count="31">
    <mergeCell ref="M32:N33"/>
    <mergeCell ref="K34:L34"/>
    <mergeCell ref="M34:N34"/>
    <mergeCell ref="J31:L31"/>
    <mergeCell ref="K32:L33"/>
    <mergeCell ref="G1:J1"/>
    <mergeCell ref="AA1:AD1"/>
    <mergeCell ref="X23:Y23"/>
    <mergeCell ref="V24:W27"/>
    <mergeCell ref="X24:Y27"/>
    <mergeCell ref="T24:U27"/>
    <mergeCell ref="J21:M21"/>
    <mergeCell ref="J23:K23"/>
    <mergeCell ref="L23:M23"/>
    <mergeCell ref="N23:O23"/>
    <mergeCell ref="J22:O22"/>
    <mergeCell ref="P29:Q29"/>
    <mergeCell ref="J28:K28"/>
    <mergeCell ref="L28:M28"/>
    <mergeCell ref="N28:O28"/>
    <mergeCell ref="V23:W23"/>
    <mergeCell ref="A27:D27"/>
    <mergeCell ref="A28:B28"/>
    <mergeCell ref="C28:D28"/>
    <mergeCell ref="E21:G21"/>
    <mergeCell ref="E27:H27"/>
    <mergeCell ref="V30:W30"/>
    <mergeCell ref="X30:Y30"/>
    <mergeCell ref="T31:U34"/>
    <mergeCell ref="V31:W34"/>
    <mergeCell ref="X31:Y34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C357B-88A2-A849-91A2-8AB0303AAFD2}">
  <sheetPr codeName="Blad4"/>
  <dimension ref="A1:AY34"/>
  <sheetViews>
    <sheetView zoomScale="80" zoomScaleNormal="80" workbookViewId="0">
      <selection activeCell="BA16" sqref="BA16"/>
    </sheetView>
  </sheetViews>
  <sheetFormatPr baseColWidth="10" defaultRowHeight="16" x14ac:dyDescent="0.2"/>
  <cols>
    <col min="1" max="19" width="4.1640625" customWidth="1"/>
    <col min="21" max="36" width="4.1640625" customWidth="1"/>
    <col min="39" max="42" width="0" hidden="1" customWidth="1"/>
    <col min="43" max="44" width="12.1640625" hidden="1" customWidth="1"/>
  </cols>
  <sheetData>
    <row r="1" spans="1:51" ht="17" x14ac:dyDescent="0.2">
      <c r="A1" s="1"/>
      <c r="B1" s="2"/>
      <c r="C1" s="2"/>
      <c r="D1" s="2"/>
      <c r="E1" s="2"/>
      <c r="F1" s="2"/>
      <c r="G1" s="122" t="s">
        <v>4</v>
      </c>
      <c r="H1" s="122"/>
      <c r="I1" s="122"/>
      <c r="J1" s="122"/>
      <c r="K1" s="2"/>
      <c r="L1" s="2"/>
      <c r="M1" s="2"/>
      <c r="N1" s="2"/>
      <c r="O1" s="2"/>
      <c r="P1" s="3"/>
      <c r="U1" s="1"/>
      <c r="V1" s="2"/>
      <c r="W1" s="2"/>
      <c r="X1" s="2"/>
      <c r="Y1" s="2"/>
      <c r="Z1" s="2"/>
      <c r="AA1" s="122" t="s">
        <v>5</v>
      </c>
      <c r="AB1" s="122"/>
      <c r="AC1" s="122"/>
      <c r="AD1" s="122"/>
      <c r="AE1" s="2"/>
      <c r="AF1" s="2"/>
      <c r="AG1" s="2"/>
      <c r="AH1" s="2"/>
      <c r="AI1" s="2"/>
      <c r="AJ1" s="3"/>
      <c r="AL1" s="34" t="s">
        <v>38</v>
      </c>
      <c r="AM1" t="s">
        <v>9</v>
      </c>
      <c r="AN1" t="s">
        <v>10</v>
      </c>
      <c r="AO1" t="s">
        <v>11</v>
      </c>
      <c r="AP1" t="s">
        <v>12</v>
      </c>
      <c r="AQ1" s="36" t="s">
        <v>41</v>
      </c>
      <c r="AR1" t="s">
        <v>42</v>
      </c>
      <c r="AS1" s="13" t="s">
        <v>39</v>
      </c>
      <c r="AT1" t="s">
        <v>68</v>
      </c>
      <c r="AU1" t="s">
        <v>57</v>
      </c>
      <c r="AV1" t="s">
        <v>69</v>
      </c>
      <c r="AW1" t="s">
        <v>71</v>
      </c>
      <c r="AX1" t="s">
        <v>70</v>
      </c>
      <c r="AY1" t="s">
        <v>72</v>
      </c>
    </row>
    <row r="2" spans="1:51" x14ac:dyDescent="0.2">
      <c r="A2" s="4"/>
      <c r="P2" s="5"/>
      <c r="U2" s="4"/>
      <c r="AJ2" s="5"/>
      <c r="AL2" s="33">
        <v>4</v>
      </c>
      <c r="AM2" s="34"/>
      <c r="AN2" s="34"/>
      <c r="AO2" s="34"/>
      <c r="AP2" s="34"/>
      <c r="AQ2" s="36" t="e">
        <f t="shared" ref="AQ2:AQ9" si="0">SUM(AM2/(AM2+AN2+AO2))</f>
        <v>#DIV/0!</v>
      </c>
      <c r="AR2" s="36" t="e">
        <f t="shared" ref="AR2:AR9" si="1">SUM(AP2/(AO2+AN2+AM2))</f>
        <v>#DIV/0!</v>
      </c>
      <c r="AS2" s="13"/>
      <c r="AT2">
        <v>2</v>
      </c>
      <c r="AV2">
        <v>2</v>
      </c>
      <c r="AW2">
        <v>3</v>
      </c>
      <c r="AY2">
        <v>2</v>
      </c>
    </row>
    <row r="3" spans="1:51" ht="17" thickBot="1" x14ac:dyDescent="0.25">
      <c r="A3" s="19"/>
      <c r="B3" s="20"/>
      <c r="C3" s="20"/>
      <c r="D3" s="20"/>
      <c r="E3" s="20"/>
      <c r="F3" s="20"/>
      <c r="G3" s="20"/>
      <c r="H3" s="21"/>
      <c r="I3" s="22"/>
      <c r="J3" s="20"/>
      <c r="K3" s="20"/>
      <c r="L3" s="20"/>
      <c r="M3" s="20"/>
      <c r="N3" s="20"/>
      <c r="O3" s="20"/>
      <c r="P3" s="23"/>
      <c r="U3" s="19"/>
      <c r="V3" s="20"/>
      <c r="W3" s="20"/>
      <c r="X3" s="20"/>
      <c r="Y3" s="20"/>
      <c r="Z3" s="20"/>
      <c r="AA3" s="20"/>
      <c r="AB3" s="21"/>
      <c r="AC3" s="22"/>
      <c r="AD3" s="20"/>
      <c r="AE3" s="20"/>
      <c r="AF3" s="20"/>
      <c r="AG3" s="20"/>
      <c r="AH3" s="20"/>
      <c r="AI3" s="20"/>
      <c r="AJ3" s="23"/>
      <c r="AL3" s="33">
        <v>7</v>
      </c>
      <c r="AM3" s="34"/>
      <c r="AN3" s="34"/>
      <c r="AO3" s="34"/>
      <c r="AP3" s="34"/>
      <c r="AQ3" s="36" t="e">
        <f t="shared" si="0"/>
        <v>#DIV/0!</v>
      </c>
      <c r="AR3" s="36" t="e">
        <f t="shared" si="1"/>
        <v>#DIV/0!</v>
      </c>
      <c r="AS3" s="13"/>
      <c r="AT3">
        <v>2</v>
      </c>
      <c r="AU3">
        <v>1</v>
      </c>
      <c r="AV3">
        <v>1</v>
      </c>
      <c r="AW3">
        <v>4</v>
      </c>
      <c r="AY3">
        <v>2</v>
      </c>
    </row>
    <row r="4" spans="1:51" x14ac:dyDescent="0.2">
      <c r="A4" t="s">
        <v>0</v>
      </c>
      <c r="B4">
        <f>SUM(SkottSpelare!S3,SkottSpelare!S18,SkottSpelare!S33,SkottSpelare!S48,SkottSpelare!S63,SkottSpelare!S78,SkottSpelare!S93,SkottSpelare!S108,SkottSpelare!S123,SkottSpelare!S138,SkottSpelare!S153,SkottSpelare!S168,SkottSpelare!S183,SkottSpelare!S198,SkottSpelare!S213,SkottSpelare!S228,SkottSpelare!S243,SkottSpelare!S258,SkottSpelare!S273,SkottSpelare!S288,SkottSpelare!S303,SkottSpelare!S318,SkottSpelare!S333,SkottSpelare!S348,SkottSpelare!S363,SkottSpelare!S378,SkottSpelare!S393,SkottSpelare!S408,SkottSpelare!S423,SkottSpelare!S438,SkottSpelare!S453,SkottSpelare!S468)</f>
        <v>0</v>
      </c>
      <c r="H4" t="s">
        <v>0</v>
      </c>
      <c r="I4">
        <f>SUM(SkottSpelare!W3,SkottSpelare!W18,SkottSpelare!W33,SkottSpelare!W48,SkottSpelare!W63,SkottSpelare!W78,SkottSpelare!W93,SkottSpelare!W108,SkottSpelare!W123,SkottSpelare!W138,SkottSpelare!W153,SkottSpelare!W168,SkottSpelare!W183,SkottSpelare!W198,SkottSpelare!W213,SkottSpelare!W228,SkottSpelare!W243,SkottSpelare!W258,SkottSpelare!W273,SkottSpelare!W288,SkottSpelare!W303,SkottSpelare!W318,SkottSpelare!W333,SkottSpelare!W348,SkottSpelare!W363,SkottSpelare!W378,SkottSpelare!W393,SkottSpelare!W408,SkottSpelare!W423,SkottSpelare!W438,SkottSpelare!W453,SkottSpelare!W468)</f>
        <v>0</v>
      </c>
      <c r="N4" t="s">
        <v>0</v>
      </c>
      <c r="O4">
        <f>SUM(SkottSpelare!AA3,SkottSpelare!AA18,SkottSpelare!AA33,SkottSpelare!AA48,SkottSpelare!AA63,SkottSpelare!AA78,SkottSpelare!AA93,SkottSpelare!AA108,SkottSpelare!AA123,SkottSpelare!AA138,SkottSpelare!AA153,SkottSpelare!AA168,SkottSpelare!AA183,SkottSpelare!AA198,SkottSpelare!AA213,SkottSpelare!AA228,SkottSpelare!AA243,SkottSpelare!AA258,SkottSpelare!AA273,SkottSpelare!AA288,SkottSpelare!AA303,SkottSpelare!AA318,SkottSpelare!AA333,SkottSpelare!AA348,SkottSpelare!AA363,SkottSpelare!AA378,SkottSpelare!AA393,SkottSpelare!AA408,SkottSpelare!AA423,SkottSpelare!AA438,SkottSpelare!AA453,SkottSpelare!AA468)</f>
        <v>0</v>
      </c>
      <c r="P4" s="5"/>
      <c r="U4" s="4" t="s">
        <v>0</v>
      </c>
      <c r="AB4" t="s">
        <v>0</v>
      </c>
      <c r="AH4" t="s">
        <v>0</v>
      </c>
      <c r="AJ4" s="5"/>
      <c r="AL4" s="33">
        <v>6</v>
      </c>
      <c r="AM4" s="34"/>
      <c r="AN4" s="34"/>
      <c r="AO4" s="34"/>
      <c r="AP4" s="34"/>
      <c r="AQ4" s="36" t="e">
        <f t="shared" si="0"/>
        <v>#DIV/0!</v>
      </c>
      <c r="AR4" s="36" t="e">
        <f t="shared" si="1"/>
        <v>#DIV/0!</v>
      </c>
      <c r="AS4" s="35"/>
      <c r="AT4" s="34"/>
    </row>
    <row r="5" spans="1:51" x14ac:dyDescent="0.2">
      <c r="A5" t="s">
        <v>1</v>
      </c>
      <c r="B5">
        <f>SUM(SkottSpelare!S4,SkottSpelare!S19,SkottSpelare!S34,SkottSpelare!S49,SkottSpelare!S64,SkottSpelare!S79,SkottSpelare!S94,SkottSpelare!S109,SkottSpelare!S124,SkottSpelare!S139,SkottSpelare!S154,SkottSpelare!S169,SkottSpelare!S184,SkottSpelare!S199,SkottSpelare!S214,SkottSpelare!S229,SkottSpelare!S244,SkottSpelare!S259,SkottSpelare!S274,SkottSpelare!S289,SkottSpelare!S304,SkottSpelare!S319,SkottSpelare!S334,SkottSpelare!S349,SkottSpelare!S364,SkottSpelare!S379,SkottSpelare!S394,SkottSpelare!S409,SkottSpelare!S424,SkottSpelare!S439,SkottSpelare!S454,SkottSpelare!S469)</f>
        <v>0</v>
      </c>
      <c r="H5" t="s">
        <v>1</v>
      </c>
      <c r="I5">
        <f>SUM(SkottSpelare!W4,SkottSpelare!W19,SkottSpelare!W34,SkottSpelare!W49,SkottSpelare!W64,SkottSpelare!W79,SkottSpelare!W94,SkottSpelare!W109,SkottSpelare!W124,SkottSpelare!W139,SkottSpelare!W154,SkottSpelare!W169,SkottSpelare!W184,SkottSpelare!W199,SkottSpelare!W214,SkottSpelare!W229,SkottSpelare!W244,SkottSpelare!W259,SkottSpelare!W274,SkottSpelare!W289,SkottSpelare!W304,SkottSpelare!W319,SkottSpelare!W334,SkottSpelare!W349,SkottSpelare!W364,SkottSpelare!W379,SkottSpelare!W394,SkottSpelare!W409,SkottSpelare!W424,SkottSpelare!W439,SkottSpelare!W469,SkottSpelare!W454)</f>
        <v>0</v>
      </c>
      <c r="N5" t="s">
        <v>1</v>
      </c>
      <c r="O5">
        <f>SUM(SkottSpelare!AA4,SkottSpelare!AA19,SkottSpelare!AA34,SkottSpelare!AA49,SkottSpelare!AA64,SkottSpelare!AA79,SkottSpelare!AA94,SkottSpelare!AA109,SkottSpelare!AA124,SkottSpelare!AA139,SkottSpelare!AA154,SkottSpelare!AA169,SkottSpelare!AA184,SkottSpelare!AA199,SkottSpelare!AA214,SkottSpelare!AA229,SkottSpelare!AA244,SkottSpelare!AA259,SkottSpelare!AA274,SkottSpelare!AA289,SkottSpelare!AA304,SkottSpelare!AA319,SkottSpelare!AA334,SkottSpelare!AA349,SkottSpelare!AA364,SkottSpelare!AA379,SkottSpelare!AA394,SkottSpelare!AA409,SkottSpelare!AA424,SkottSpelare!AA439,SkottSpelare!AA454,SkottSpelare!AA469)</f>
        <v>0</v>
      </c>
      <c r="P5" s="5"/>
      <c r="U5" s="4" t="s">
        <v>1</v>
      </c>
      <c r="AB5" t="s">
        <v>1</v>
      </c>
      <c r="AH5" t="s">
        <v>1</v>
      </c>
      <c r="AJ5" s="5"/>
      <c r="AL5" s="33">
        <v>2</v>
      </c>
      <c r="AQ5" s="36" t="e">
        <f t="shared" si="0"/>
        <v>#DIV/0!</v>
      </c>
      <c r="AR5" s="36" t="e">
        <f t="shared" si="1"/>
        <v>#DIV/0!</v>
      </c>
      <c r="AS5" s="13"/>
    </row>
    <row r="6" spans="1:51" x14ac:dyDescent="0.2">
      <c r="A6" t="s">
        <v>2</v>
      </c>
      <c r="B6">
        <f>SUM(SkottSpelare!S5,SkottSpelare!S20,SkottSpelare!S35,SkottSpelare!S50,SkottSpelare!S65,SkottSpelare!S80,SkottSpelare!S95,SkottSpelare!S110,SkottSpelare!S125,SkottSpelare!S140,SkottSpelare!S155,SkottSpelare!S170,SkottSpelare!S185,SkottSpelare!S200,SkottSpelare!S215,SkottSpelare!S230,SkottSpelare!S245,SkottSpelare!S260,SkottSpelare!S275,SkottSpelare!S290,SkottSpelare!S305,SkottSpelare!S320,SkottSpelare!S335,SkottSpelare!S350,SkottSpelare!S365,SkottSpelare!S380,SkottSpelare!S395,SkottSpelare!S410,SkottSpelare!S425,SkottSpelare!S440,SkottSpelare!S455,SkottSpelare!S470)</f>
        <v>0</v>
      </c>
      <c r="H6" t="s">
        <v>2</v>
      </c>
      <c r="I6">
        <f>SUM(SkottSpelare!W5,SkottSpelare!W20,SkottSpelare!W35,SkottSpelare!W50,SkottSpelare!W65,SkottSpelare!W80,SkottSpelare!W95,SkottSpelare!W110,SkottSpelare!W125,SkottSpelare!W140,SkottSpelare!W155,SkottSpelare!W170,SkottSpelare!W185,SkottSpelare!W200,SkottSpelare!W215,SkottSpelare!W230,SkottSpelare!W245,SkottSpelare!W260,SkottSpelare!W275,SkottSpelare!W290,SkottSpelare!W305,SkottSpelare!W320,SkottSpelare!W335,SkottSpelare!W350,SkottSpelare!W365,SkottSpelare!W380,SkottSpelare!W395,SkottSpelare!W410,SkottSpelare!W425,SkottSpelare!W440,SkottSpelare!W470,SkottSpelare!W455)</f>
        <v>0</v>
      </c>
      <c r="N6" t="s">
        <v>2</v>
      </c>
      <c r="O6">
        <f>SUM(SkottSpelare!AA5,SkottSpelare!AA20,SkottSpelare!AA35,SkottSpelare!AA50,SkottSpelare!AA65,SkottSpelare!AA80,SkottSpelare!AA95,SkottSpelare!AA110,SkottSpelare!AA125,SkottSpelare!AA140,SkottSpelare!AA155,SkottSpelare!AA170,SkottSpelare!AA185,SkottSpelare!AA200,SkottSpelare!AA215,SkottSpelare!AA230,SkottSpelare!AA245,SkottSpelare!AA260,SkottSpelare!AA275,SkottSpelare!AA290,SkottSpelare!AA305,SkottSpelare!AA320,SkottSpelare!AA335,SkottSpelare!AA350,SkottSpelare!AA365,SkottSpelare!AA380,SkottSpelare!AA395,SkottSpelare!AA410,SkottSpelare!AA425,SkottSpelare!AA440,SkottSpelare!AA455,SkottSpelare!AA470)</f>
        <v>2</v>
      </c>
      <c r="P6" s="5"/>
      <c r="U6" s="4" t="s">
        <v>2</v>
      </c>
      <c r="AB6" t="s">
        <v>2</v>
      </c>
      <c r="AC6">
        <v>2</v>
      </c>
      <c r="AH6" t="s">
        <v>2</v>
      </c>
      <c r="AI6">
        <v>1</v>
      </c>
      <c r="AJ6" s="5"/>
      <c r="AL6" s="33">
        <v>12</v>
      </c>
      <c r="AM6" s="34"/>
      <c r="AN6" s="34"/>
      <c r="AO6" s="34"/>
      <c r="AP6" s="34"/>
      <c r="AQ6" s="36" t="e">
        <f t="shared" si="0"/>
        <v>#DIV/0!</v>
      </c>
      <c r="AR6" s="36" t="e">
        <f t="shared" si="1"/>
        <v>#DIV/0!</v>
      </c>
      <c r="AS6" s="13"/>
      <c r="AT6">
        <v>3</v>
      </c>
      <c r="AW6">
        <v>2</v>
      </c>
    </row>
    <row r="7" spans="1:51" x14ac:dyDescent="0.2">
      <c r="A7" s="17" t="s">
        <v>3</v>
      </c>
      <c r="B7">
        <f>SUM(SkottSpelare!S6,SkottSpelare!S21,SkottSpelare!S36,SkottSpelare!S51,SkottSpelare!S66,SkottSpelare!S81,SkottSpelare!S96,SkottSpelare!S111,SkottSpelare!S126,SkottSpelare!S141,SkottSpelare!S156,SkottSpelare!S171,SkottSpelare!S186,SkottSpelare!S201,SkottSpelare!S216,SkottSpelare!S231,SkottSpelare!S246,SkottSpelare!S261,SkottSpelare!S276,SkottSpelare!S291,SkottSpelare!S306,SkottSpelare!S321,SkottSpelare!S336,SkottSpelare!S351,SkottSpelare!S366,SkottSpelare!S381,SkottSpelare!S396,SkottSpelare!S411,SkottSpelare!S426,SkottSpelare!S441,SkottSpelare!S456,SkottSpelare!S471)</f>
        <v>0</v>
      </c>
      <c r="H7" s="17" t="s">
        <v>3</v>
      </c>
      <c r="I7">
        <f>SUM(SkottSpelare!W6,SkottSpelare!W21,SkottSpelare!W36,SkottSpelare!W51,SkottSpelare!W66,SkottSpelare!W81,SkottSpelare!W96,SkottSpelare!W111,SkottSpelare!W126,SkottSpelare!W141,SkottSpelare!W156,SkottSpelare!W171,SkottSpelare!W186,SkottSpelare!W201,SkottSpelare!W216,SkottSpelare!W231,SkottSpelare!W246,SkottSpelare!W261,SkottSpelare!W276,SkottSpelare!W291,SkottSpelare!W306,SkottSpelare!W321,SkottSpelare!W336,SkottSpelare!W351,SkottSpelare!W366,SkottSpelare!W381,SkottSpelare!W396,SkottSpelare!W411,SkottSpelare!W426,SkottSpelare!W441,SkottSpelare!W471,SkottSpelare!W456)</f>
        <v>0</v>
      </c>
      <c r="N7" s="17" t="s">
        <v>3</v>
      </c>
      <c r="O7">
        <f>SUM(SkottSpelare!AA6,SkottSpelare!AA21,SkottSpelare!AA36,SkottSpelare!AA51,SkottSpelare!AA66,SkottSpelare!AA81,SkottSpelare!AA96,SkottSpelare!AA111,SkottSpelare!AA126,SkottSpelare!AA141,SkottSpelare!AA156,SkottSpelare!AA171,SkottSpelare!AA186,SkottSpelare!AA201,SkottSpelare!AA216,SkottSpelare!AA231,SkottSpelare!AA246,SkottSpelare!AA261,SkottSpelare!AA276,SkottSpelare!AA291,SkottSpelare!AA306,SkottSpelare!AA321,SkottSpelare!AA336,SkottSpelare!AA351,SkottSpelare!AA366,SkottSpelare!AA381,SkottSpelare!AA396,SkottSpelare!AA411,SkottSpelare!AA426,SkottSpelare!AA441,SkottSpelare!AA456,SkottSpelare!AA471)</f>
        <v>0</v>
      </c>
      <c r="P7" s="5"/>
      <c r="U7" s="26" t="s">
        <v>3</v>
      </c>
      <c r="AB7" s="17" t="s">
        <v>3</v>
      </c>
      <c r="AH7" s="17" t="s">
        <v>3</v>
      </c>
      <c r="AJ7" s="5"/>
      <c r="AL7" s="33">
        <v>10</v>
      </c>
      <c r="AM7" s="34"/>
      <c r="AN7" s="34"/>
      <c r="AO7" s="34"/>
      <c r="AP7" s="34"/>
      <c r="AQ7" s="36" t="e">
        <f t="shared" si="0"/>
        <v>#DIV/0!</v>
      </c>
      <c r="AR7" s="36" t="e">
        <f t="shared" si="1"/>
        <v>#DIV/0!</v>
      </c>
      <c r="AS7" s="35"/>
      <c r="AT7" s="34"/>
    </row>
    <row r="8" spans="1:51" x14ac:dyDescent="0.2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3"/>
      <c r="U8" s="19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3"/>
      <c r="AL8" s="33">
        <v>17</v>
      </c>
      <c r="AM8" s="34"/>
      <c r="AN8" s="34"/>
      <c r="AO8" s="34"/>
      <c r="AP8" s="34"/>
      <c r="AQ8" s="36" t="e">
        <f t="shared" si="0"/>
        <v>#DIV/0!</v>
      </c>
      <c r="AR8" s="36" t="e">
        <f t="shared" si="1"/>
        <v>#DIV/0!</v>
      </c>
      <c r="AS8" s="13"/>
      <c r="AU8">
        <v>1</v>
      </c>
      <c r="AW8">
        <v>2</v>
      </c>
    </row>
    <row r="9" spans="1:51" x14ac:dyDescent="0.2">
      <c r="A9" t="s">
        <v>0</v>
      </c>
      <c r="B9">
        <f>SUM(SkottSpelare!S7,SkottSpelare!S22,SkottSpelare!S37,SkottSpelare!S52,SkottSpelare!S67,SkottSpelare!S82,SkottSpelare!S97,SkottSpelare!S112,SkottSpelare!S127,SkottSpelare!S142,SkottSpelare!S157,SkottSpelare!S172,SkottSpelare!S187,SkottSpelare!S202,SkottSpelare!S217,SkottSpelare!S232,SkottSpelare!S247,SkottSpelare!S262,SkottSpelare!S277,SkottSpelare!S292,SkottSpelare!S307,SkottSpelare!S322,SkottSpelare!S337,SkottSpelare!S352,SkottSpelare!S367,SkottSpelare!S382,SkottSpelare!S397,SkottSpelare!S412,SkottSpelare!S427,SkottSpelare!S442,SkottSpelare!S457,SkottSpelare!S472)</f>
        <v>4</v>
      </c>
      <c r="F9" t="s">
        <v>0</v>
      </c>
      <c r="G9">
        <f>SUM(SkottSpelare!W7,SkottSpelare!W22,SkottSpelare!W37,SkottSpelare!W52,SkottSpelare!W67,SkottSpelare!W82,SkottSpelare!W97,SkottSpelare!W112,SkottSpelare!W127,SkottSpelare!W142,SkottSpelare!W157,SkottSpelare!W172,SkottSpelare!W187,SkottSpelare!W202,SkottSpelare!W217,SkottSpelare!W232,SkottSpelare!W247,SkottSpelare!W262,SkottSpelare!W277,SkottSpelare!W292,SkottSpelare!W307,SkottSpelare!W322,SkottSpelare!W337,SkottSpelare!W352,SkottSpelare!W367,SkottSpelare!W382,SkottSpelare!W397,SkottSpelare!W412,SkottSpelare!W427,SkottSpelare!W442,SkottSpelare!W472,SkottSpelare!W457)</f>
        <v>4</v>
      </c>
      <c r="N9" t="s">
        <v>0</v>
      </c>
      <c r="O9">
        <f>SUM(SkottSpelare!AA7,SkottSpelare!AA22,SkottSpelare!AA37,SkottSpelare!AA52,SkottSpelare!AA67,SkottSpelare!AA82,SkottSpelare!AA97,SkottSpelare!AA112,SkottSpelare!AA127,SkottSpelare!AA142,SkottSpelare!AA157,SkottSpelare!AA172,SkottSpelare!AA187,SkottSpelare!AA202,SkottSpelare!AA217,SkottSpelare!AA232,SkottSpelare!AA247,SkottSpelare!AA262,SkottSpelare!AA277,SkottSpelare!AA292,SkottSpelare!AA307,SkottSpelare!AA322,SkottSpelare!AA337,SkottSpelare!AA352,SkottSpelare!AA367,SkottSpelare!AA382,SkottSpelare!AA397,SkottSpelare!AA412,SkottSpelare!AA427,SkottSpelare!AA442,SkottSpelare!AA457,SkottSpelare!AA472)</f>
        <v>0</v>
      </c>
      <c r="P9" s="5"/>
      <c r="U9" s="4" t="s">
        <v>0</v>
      </c>
      <c r="Z9" t="s">
        <v>0</v>
      </c>
      <c r="AA9">
        <v>1</v>
      </c>
      <c r="AH9" t="s">
        <v>0</v>
      </c>
      <c r="AI9">
        <v>1</v>
      </c>
      <c r="AJ9" s="5"/>
      <c r="AL9" s="33">
        <v>19</v>
      </c>
      <c r="AM9" s="34"/>
      <c r="AN9" s="34"/>
      <c r="AO9" s="34"/>
      <c r="AP9" s="34"/>
      <c r="AQ9" s="36" t="e">
        <f t="shared" si="0"/>
        <v>#DIV/0!</v>
      </c>
      <c r="AR9" s="36" t="e">
        <f t="shared" si="1"/>
        <v>#DIV/0!</v>
      </c>
      <c r="AS9" s="13"/>
    </row>
    <row r="10" spans="1:51" x14ac:dyDescent="0.2">
      <c r="A10" t="s">
        <v>1</v>
      </c>
      <c r="B10">
        <f>SUM(SkottSpelare!S8,SkottSpelare!S23,SkottSpelare!S38,SkottSpelare!S53,SkottSpelare!S68,SkottSpelare!S83,SkottSpelare!S98,SkottSpelare!S113,SkottSpelare!S128,SkottSpelare!S143,SkottSpelare!S158,SkottSpelare!S173,SkottSpelare!S188,SkottSpelare!S203,SkottSpelare!S218,SkottSpelare!S233,SkottSpelare!S248,SkottSpelare!S263,SkottSpelare!S278,SkottSpelare!S293,SkottSpelare!S308,SkottSpelare!S323,SkottSpelare!S338,SkottSpelare!S353,SkottSpelare!S368,SkottSpelare!S383,SkottSpelare!S398,SkottSpelare!S413,SkottSpelare!S428,SkottSpelare!S443,SkottSpelare!S458,SkottSpelare!S473)</f>
        <v>3</v>
      </c>
      <c r="F10" t="s">
        <v>1</v>
      </c>
      <c r="G10">
        <f>SUM(SkottSpelare!W8,SkottSpelare!W23,SkottSpelare!W38,SkottSpelare!W53,SkottSpelare!W68,SkottSpelare!W83,SkottSpelare!W98,SkottSpelare!W113,SkottSpelare!W128,SkottSpelare!W143,SkottSpelare!W158,SkottSpelare!W173,SkottSpelare!W188,SkottSpelare!W203,SkottSpelare!W218,SkottSpelare!W233,SkottSpelare!W248,SkottSpelare!W263,SkottSpelare!W278,SkottSpelare!W293,SkottSpelare!W308,SkottSpelare!W323,SkottSpelare!W338,SkottSpelare!W353,SkottSpelare!W368,SkottSpelare!W383,SkottSpelare!W398,SkottSpelare!W413,SkottSpelare!W428,SkottSpelare!W443,SkottSpelare!W473,SkottSpelare!W458)</f>
        <v>3</v>
      </c>
      <c r="N10" t="s">
        <v>1</v>
      </c>
      <c r="O10">
        <f>SUM(SkottSpelare!AA8,SkottSpelare!AA23,SkottSpelare!AA38,SkottSpelare!AA53,SkottSpelare!AA68,SkottSpelare!AA83,SkottSpelare!AA98,SkottSpelare!AA113,SkottSpelare!AA128,SkottSpelare!AA143,SkottSpelare!AA158,SkottSpelare!AA173,SkottSpelare!AA188,SkottSpelare!AA203,SkottSpelare!AA218,SkottSpelare!AA233,SkottSpelare!AA248,SkottSpelare!AA263,SkottSpelare!AA278,SkottSpelare!AA293,SkottSpelare!AA308,SkottSpelare!AA323,SkottSpelare!AA338,SkottSpelare!AA353,SkottSpelare!AA368,SkottSpelare!AA383,SkottSpelare!AA398,SkottSpelare!AA413,SkottSpelare!AA428,SkottSpelare!AA443,SkottSpelare!AA473,SkottSpelare!AA458)</f>
        <v>4</v>
      </c>
      <c r="P10" s="5"/>
      <c r="U10" s="4" t="s">
        <v>1</v>
      </c>
      <c r="Z10" t="s">
        <v>1</v>
      </c>
      <c r="AA10">
        <v>4</v>
      </c>
      <c r="AH10" t="s">
        <v>1</v>
      </c>
      <c r="AJ10" s="5"/>
      <c r="AL10" s="33">
        <v>22</v>
      </c>
      <c r="AS10" s="13"/>
      <c r="AT10">
        <v>4</v>
      </c>
      <c r="AV10">
        <v>1</v>
      </c>
      <c r="AW10">
        <v>3</v>
      </c>
      <c r="AY10">
        <v>1</v>
      </c>
    </row>
    <row r="11" spans="1:51" x14ac:dyDescent="0.2">
      <c r="A11" t="s">
        <v>2</v>
      </c>
      <c r="B11">
        <f>SUM(SkottSpelare!S9,SkottSpelare!S24,SkottSpelare!S39,SkottSpelare!S54,SkottSpelare!S69,SkottSpelare!S84,SkottSpelare!S99,SkottSpelare!S114,SkottSpelare!S129,SkottSpelare!S144,SkottSpelare!S159,SkottSpelare!S174,SkottSpelare!S189,SkottSpelare!S204,SkottSpelare!S219,SkottSpelare!S234,SkottSpelare!S249,SkottSpelare!S264,SkottSpelare!S279,SkottSpelare!S294,SkottSpelare!S309,SkottSpelare!S324,SkottSpelare!S339,SkottSpelare!S354,SkottSpelare!S369,SkottSpelare!S384,SkottSpelare!S399,SkottSpelare!S414,SkottSpelare!S429,SkottSpelare!S444,SkottSpelare!S459,SkottSpelare!S474)</f>
        <v>1</v>
      </c>
      <c r="F11" t="s">
        <v>2</v>
      </c>
      <c r="G11">
        <f>SUM(SkottSpelare!W9,SkottSpelare!W24,SkottSpelare!W39,SkottSpelare!W54,SkottSpelare!W69,SkottSpelare!W84,SkottSpelare!W99,SkottSpelare!W114,SkottSpelare!W129,SkottSpelare!W144,SkottSpelare!W159,SkottSpelare!W174,SkottSpelare!W189,SkottSpelare!W204,SkottSpelare!W219,SkottSpelare!W234,SkottSpelare!W249,SkottSpelare!W264,SkottSpelare!W279,SkottSpelare!W294,SkottSpelare!W309,SkottSpelare!W324,SkottSpelare!W339,SkottSpelare!W354,SkottSpelare!W369,SkottSpelare!W384,SkottSpelare!W399,SkottSpelare!W414,SkottSpelare!W429,SkottSpelare!W444,SkottSpelare!W474,SkottSpelare!W459)</f>
        <v>2</v>
      </c>
      <c r="N11" t="s">
        <v>2</v>
      </c>
      <c r="O11">
        <f>SUM(SkottSpelare!AA9,SkottSpelare!AA24,SkottSpelare!AA39,SkottSpelare!AA54,SkottSpelare!AA69,SkottSpelare!AA84,SkottSpelare!AA99,SkottSpelare!AA114,SkottSpelare!AA129,SkottSpelare!AA144,SkottSpelare!AA159,SkottSpelare!AA174,SkottSpelare!AA189,SkottSpelare!AA204,SkottSpelare!AA219,SkottSpelare!AA234,SkottSpelare!AA249,SkottSpelare!AA264,SkottSpelare!AA279,SkottSpelare!AA294,SkottSpelare!AA309,SkottSpelare!AA324,SkottSpelare!AA339,SkottSpelare!AA354,SkottSpelare!AA369,SkottSpelare!AA384,SkottSpelare!AA399,SkottSpelare!AA414,SkottSpelare!AA429,SkottSpelare!AA444,SkottSpelare!AA474,SkottSpelare!AA459)</f>
        <v>2</v>
      </c>
      <c r="P11" s="5"/>
      <c r="U11" s="4" t="s">
        <v>2</v>
      </c>
      <c r="V11">
        <v>1</v>
      </c>
      <c r="Z11" t="s">
        <v>2</v>
      </c>
      <c r="AH11" t="s">
        <v>2</v>
      </c>
      <c r="AJ11" s="5"/>
      <c r="AL11" s="33">
        <v>23</v>
      </c>
      <c r="AM11" s="34"/>
      <c r="AN11" s="34"/>
      <c r="AO11" s="34"/>
      <c r="AP11" s="34"/>
      <c r="AQ11" s="36" t="e">
        <f t="shared" ref="AQ11:AQ20" si="2">SUM(AM11/(AM11+AN11+AO11))</f>
        <v>#DIV/0!</v>
      </c>
      <c r="AR11" s="36" t="e">
        <f t="shared" ref="AR11:AR20" si="3">SUM(AP11/(AO11+AN11+AM11))</f>
        <v>#DIV/0!</v>
      </c>
      <c r="AS11" s="13"/>
      <c r="AT11">
        <v>2</v>
      </c>
      <c r="AU11">
        <v>1</v>
      </c>
      <c r="AV11">
        <v>2</v>
      </c>
      <c r="AW11">
        <v>5</v>
      </c>
      <c r="AY11">
        <v>1</v>
      </c>
    </row>
    <row r="12" spans="1:51" x14ac:dyDescent="0.2">
      <c r="A12" s="17" t="s">
        <v>3</v>
      </c>
      <c r="B12">
        <f>SUM(SkottSpelare!S10,SkottSpelare!S25,SkottSpelare!S40,SkottSpelare!S55,SkottSpelare!S70,SkottSpelare!S85,SkottSpelare!S100,SkottSpelare!S115,SkottSpelare!S130,SkottSpelare!S145,SkottSpelare!S160,SkottSpelare!S175,SkottSpelare!S190,SkottSpelare!S205,SkottSpelare!S220,SkottSpelare!S235,SkottSpelare!S250,SkottSpelare!S265,SkottSpelare!S280,SkottSpelare!S295,SkottSpelare!S310,SkottSpelare!S325,SkottSpelare!S340,SkottSpelare!S355,SkottSpelare!S370,SkottSpelare!S385,SkottSpelare!S400,SkottSpelare!S415,SkottSpelare!S430,SkottSpelare!S445,SkottSpelare!S460,SkottSpelare!S475)</f>
        <v>1</v>
      </c>
      <c r="F12" s="17" t="s">
        <v>3</v>
      </c>
      <c r="G12">
        <f>SUM(SkottSpelare!W10,SkottSpelare!W25,SkottSpelare!W40,SkottSpelare!W55,SkottSpelare!W70,SkottSpelare!W85,SkottSpelare!W100,SkottSpelare!W115,SkottSpelare!W130,SkottSpelare!W145,SkottSpelare!W160,SkottSpelare!W175,SkottSpelare!W190,SkottSpelare!W205,SkottSpelare!W220,SkottSpelare!W235,SkottSpelare!W250,SkottSpelare!W265,SkottSpelare!W280,SkottSpelare!W295,SkottSpelare!W310,SkottSpelare!W325,SkottSpelare!W340,SkottSpelare!W355,SkottSpelare!W370,SkottSpelare!W385,SkottSpelare!W400,SkottSpelare!W415,SkottSpelare!W430,SkottSpelare!W445,SkottSpelare!W475,SkottSpelare!W460)</f>
        <v>2</v>
      </c>
      <c r="N12" s="17" t="s">
        <v>3</v>
      </c>
      <c r="O12">
        <f>SUM(SkottSpelare!AA10,SkottSpelare!AA25,SkottSpelare!AA40,SkottSpelare!AA55,SkottSpelare!AA70,SkottSpelare!AA85,SkottSpelare!AA100,SkottSpelare!AA115,SkottSpelare!AA130,SkottSpelare!AA145,SkottSpelare!AA160,SkottSpelare!AA175,SkottSpelare!AA190,SkottSpelare!AA205,SkottSpelare!AA220,SkottSpelare!AA235,SkottSpelare!AA250,SkottSpelare!AA265,SkottSpelare!AA280,SkottSpelare!AA295,SkottSpelare!AA310,SkottSpelare!AA325,SkottSpelare!AA340,SkottSpelare!AA355,SkottSpelare!AA370,SkottSpelare!AA385,SkottSpelare!AA400,SkottSpelare!AA415,SkottSpelare!AA430,SkottSpelare!AA445,SkottSpelare!AA475,SkottSpelare!AA460)</f>
        <v>0</v>
      </c>
      <c r="P12" s="5"/>
      <c r="U12" s="26" t="s">
        <v>3</v>
      </c>
      <c r="Z12" s="17" t="s">
        <v>3</v>
      </c>
      <c r="AA12">
        <v>1</v>
      </c>
      <c r="AH12" s="17" t="s">
        <v>3</v>
      </c>
      <c r="AJ12" s="5"/>
      <c r="AL12" s="33">
        <v>24</v>
      </c>
      <c r="AQ12" s="36" t="e">
        <f t="shared" si="2"/>
        <v>#DIV/0!</v>
      </c>
      <c r="AR12" s="36" t="e">
        <f t="shared" si="3"/>
        <v>#DIV/0!</v>
      </c>
      <c r="AS12" s="13"/>
    </row>
    <row r="13" spans="1:51" x14ac:dyDescent="0.2">
      <c r="B13" s="20"/>
      <c r="C13" s="10"/>
      <c r="D13" s="20"/>
      <c r="E13" s="20"/>
      <c r="F13" s="20"/>
      <c r="G13" s="20"/>
      <c r="H13" s="10"/>
      <c r="I13" s="20"/>
      <c r="J13" s="20"/>
      <c r="K13" s="20"/>
      <c r="L13" s="20"/>
      <c r="M13" s="10"/>
      <c r="N13" s="20"/>
      <c r="O13" s="20"/>
      <c r="P13" s="23"/>
      <c r="U13" s="4"/>
      <c r="V13" s="20"/>
      <c r="W13" s="10"/>
      <c r="X13" s="20"/>
      <c r="Y13" s="20"/>
      <c r="Z13" s="20"/>
      <c r="AA13" s="20"/>
      <c r="AB13" s="10"/>
      <c r="AC13" s="20"/>
      <c r="AD13" s="20"/>
      <c r="AE13" s="20"/>
      <c r="AF13" s="20"/>
      <c r="AG13" s="10"/>
      <c r="AH13" s="20"/>
      <c r="AI13" s="20"/>
      <c r="AJ13" s="23"/>
      <c r="AL13" s="33">
        <v>25</v>
      </c>
      <c r="AM13" s="34"/>
      <c r="AN13" s="34"/>
      <c r="AO13" s="34"/>
      <c r="AP13" s="34"/>
      <c r="AQ13" s="36" t="e">
        <f t="shared" si="2"/>
        <v>#DIV/0!</v>
      </c>
      <c r="AR13" s="36" t="e">
        <f t="shared" si="3"/>
        <v>#DIV/0!</v>
      </c>
      <c r="AS13" s="13"/>
    </row>
    <row r="14" spans="1:51" x14ac:dyDescent="0.2">
      <c r="A14" t="s">
        <v>0</v>
      </c>
      <c r="B14">
        <f>SUM(SkottSpelare!S11,SkottSpelare!S26,SkottSpelare!S41,SkottSpelare!S56,SkottSpelare!S71,SkottSpelare!S86,SkottSpelare!S101,SkottSpelare!S116,SkottSpelare!S131,SkottSpelare!S146,SkottSpelare!S161,SkottSpelare!S176,SkottSpelare!S191,SkottSpelare!S206,SkottSpelare!S221,SkottSpelare!S236,SkottSpelare!S251,SkottSpelare!S266,SkottSpelare!S281,SkottSpelare!S296,SkottSpelare!S311,SkottSpelare!S326,SkottSpelare!S341,SkottSpelare!S356,SkottSpelare!S371,SkottSpelare!S386,SkottSpelare!S401,SkottSpelare!S416,SkottSpelare!S431,SkottSpelare!S446,SkottSpelare!S461,SkottSpelare!S476)</f>
        <v>0</v>
      </c>
      <c r="C14" s="14"/>
      <c r="E14" t="s">
        <v>0</v>
      </c>
      <c r="F14">
        <f>SUM(SkottSpelare!U11,SkottSpelare!U26,SkottSpelare!U41,SkottSpelare!U56,SkottSpelare!U71,SkottSpelare!U86,SkottSpelare!U101,SkottSpelare!U116,SkottSpelare!U131,SkottSpelare!U146,SkottSpelare!U161,SkottSpelare!U176,SkottSpelare!U191,SkottSpelare!U206,SkottSpelare!U221,SkottSpelare!U236,SkottSpelare!U251,SkottSpelare!U266,SkottSpelare!U281,SkottSpelare!U296,SkottSpelare!U311,SkottSpelare!U326,SkottSpelare!U341,SkottSpelare!U356,SkottSpelare!U371,SkottSpelare!U386,SkottSpelare!U401,SkottSpelare!U416,SkottSpelare!U431,SkottSpelare!U446,SkottSpelare!U461,SkottSpelare!U476)</f>
        <v>0</v>
      </c>
      <c r="H14" s="14"/>
      <c r="J14" t="s">
        <v>0</v>
      </c>
      <c r="K14">
        <f>SUM(SkottSpelare!X11,SkottSpelare!X26,SkottSpelare!X41,SkottSpelare!X56,SkottSpelare!X71,SkottSpelare!X86,SkottSpelare!X101,SkottSpelare!X116,SkottSpelare!X131,SkottSpelare!X146,SkottSpelare!X161,SkottSpelare!X176,SkottSpelare!X191,SkottSpelare!X206,SkottSpelare!X221,SkottSpelare!X236,SkottSpelare!X251,SkottSpelare!X266,SkottSpelare!X281,SkottSpelare!X296,SkottSpelare!X311,SkottSpelare!X326,SkottSpelare!X341,SkottSpelare!X356,SkottSpelare!X371,SkottSpelare!X386,SkottSpelare!X401,SkottSpelare!X416,SkottSpelare!X431,SkottSpelare!X446,SkottSpelare!X461,SkottSpelare!X476)</f>
        <v>1</v>
      </c>
      <c r="N14" s="13" t="s">
        <v>0</v>
      </c>
      <c r="O14">
        <f>SUM(SkottSpelare!AA11,SkottSpelare!AA26,SkottSpelare!AA41,SkottSpelare!AA56,SkottSpelare!AA71,SkottSpelare!AA86,SkottSpelare!AA101,SkottSpelare!AA116,SkottSpelare!AA131,SkottSpelare!AA146,SkottSpelare!AA161,SkottSpelare!AA176,SkottSpelare!AA191,SkottSpelare!AA206,SkottSpelare!AA221,SkottSpelare!AA236,SkottSpelare!AA251,SkottSpelare!AA266,SkottSpelare!AA281,SkottSpelare!AA296,SkottSpelare!AA311,SkottSpelare!AA326,SkottSpelare!AA341,SkottSpelare!AA356,SkottSpelare!AA371,SkottSpelare!AA386,SkottSpelare!AA401,SkottSpelare!AA416,SkottSpelare!AA431,SkottSpelare!AA446,SkottSpelare!AA461,SkottSpelare!AA476)</f>
        <v>0</v>
      </c>
      <c r="P14" s="5"/>
      <c r="U14" s="4" t="s">
        <v>0</v>
      </c>
      <c r="V14">
        <v>2</v>
      </c>
      <c r="W14" s="14"/>
      <c r="Y14" t="s">
        <v>0</v>
      </c>
      <c r="AB14" s="14"/>
      <c r="AD14" t="s">
        <v>0</v>
      </c>
      <c r="AH14" s="13" t="s">
        <v>0</v>
      </c>
      <c r="AJ14" s="5"/>
      <c r="AL14" s="33">
        <v>27</v>
      </c>
      <c r="AM14" s="34"/>
      <c r="AN14" s="34"/>
      <c r="AO14" s="34"/>
      <c r="AP14" s="34"/>
      <c r="AQ14" s="36" t="e">
        <f t="shared" si="2"/>
        <v>#DIV/0!</v>
      </c>
      <c r="AR14" s="36" t="e">
        <f t="shared" si="3"/>
        <v>#DIV/0!</v>
      </c>
      <c r="AS14" s="13"/>
      <c r="AT14">
        <v>1</v>
      </c>
      <c r="AU14">
        <v>1</v>
      </c>
      <c r="AV14">
        <v>2</v>
      </c>
      <c r="AW14">
        <v>3</v>
      </c>
      <c r="AY14">
        <v>3</v>
      </c>
    </row>
    <row r="15" spans="1:51" x14ac:dyDescent="0.2">
      <c r="A15" t="s">
        <v>1</v>
      </c>
      <c r="B15">
        <f>SUM(SkottSpelare!S12,SkottSpelare!S27,SkottSpelare!S42,SkottSpelare!S57,SkottSpelare!S72,SkottSpelare!S87,SkottSpelare!S102,SkottSpelare!S117,SkottSpelare!S132,SkottSpelare!S147,SkottSpelare!S162,SkottSpelare!S177,SkottSpelare!S192,SkottSpelare!S207,SkottSpelare!S222,SkottSpelare!S237,SkottSpelare!S252,SkottSpelare!S267,SkottSpelare!S282,SkottSpelare!S297,SkottSpelare!S312,SkottSpelare!S327,SkottSpelare!S342,SkottSpelare!S357,SkottSpelare!S372,SkottSpelare!S387,SkottSpelare!S402,SkottSpelare!S417,SkottSpelare!S432,SkottSpelare!S447,SkottSpelare!S462,SkottSpelare!S477)</f>
        <v>0</v>
      </c>
      <c r="C15" s="14"/>
      <c r="E15" t="s">
        <v>1</v>
      </c>
      <c r="F15">
        <f>SUM(SkottSpelare!U12,SkottSpelare!U27,SkottSpelare!U42,SkottSpelare!U57,SkottSpelare!U72,SkottSpelare!U87,SkottSpelare!U102,SkottSpelare!U117,SkottSpelare!U132,SkottSpelare!U147,SkottSpelare!U162,SkottSpelare!U177,SkottSpelare!U192,SkottSpelare!U207,SkottSpelare!U222,SkottSpelare!U237,SkottSpelare!U252,SkottSpelare!U267,SkottSpelare!U282,SkottSpelare!U297,SkottSpelare!U312,SkottSpelare!U327,SkottSpelare!U342,SkottSpelare!U357,SkottSpelare!U372,SkottSpelare!U387,SkottSpelare!U402,SkottSpelare!U417,SkottSpelare!U432,SkottSpelare!U447,SkottSpelare!U462,SkottSpelare!U477)</f>
        <v>2</v>
      </c>
      <c r="H15" s="14"/>
      <c r="J15" t="s">
        <v>1</v>
      </c>
      <c r="K15">
        <f>SUM(SkottSpelare!X12,SkottSpelare!X27,SkottSpelare!X42,SkottSpelare!X57,SkottSpelare!X72,SkottSpelare!X87,SkottSpelare!X102,SkottSpelare!X117,SkottSpelare!X132,SkottSpelare!X147,SkottSpelare!X162,SkottSpelare!X177,SkottSpelare!X192,SkottSpelare!X207,SkottSpelare!X222,SkottSpelare!X237,SkottSpelare!X252,SkottSpelare!X267,SkottSpelare!X282,SkottSpelare!X297,SkottSpelare!X312,SkottSpelare!X327,SkottSpelare!X342,SkottSpelare!X357,SkottSpelare!X372,SkottSpelare!X387,SkottSpelare!X402,SkottSpelare!X417,SkottSpelare!X432,SkottSpelare!X447,SkottSpelare!X462,SkottSpelare!X477)</f>
        <v>1</v>
      </c>
      <c r="N15" s="13" t="s">
        <v>1</v>
      </c>
      <c r="O15">
        <f>SUM(SkottSpelare!AA12,SkottSpelare!AA27,SkottSpelare!AA42,SkottSpelare!AA57,SkottSpelare!AA72,SkottSpelare!AA87,SkottSpelare!AA102,SkottSpelare!AA117,SkottSpelare!AA132,SkottSpelare!AA147,SkottSpelare!AA162,SkottSpelare!AA177,SkottSpelare!AA192,SkottSpelare!AA207,SkottSpelare!AA222,SkottSpelare!AA237,SkottSpelare!AA252,SkottSpelare!AA267,SkottSpelare!AA282,SkottSpelare!AA297,SkottSpelare!AA312,SkottSpelare!AA327,SkottSpelare!AA342,SkottSpelare!AA357,SkottSpelare!AA372,SkottSpelare!AA387,SkottSpelare!AA402,SkottSpelare!AA417,SkottSpelare!AA432,SkottSpelare!AA447,SkottSpelare!AA462,SkottSpelare!AA477)</f>
        <v>0</v>
      </c>
      <c r="P15" s="5"/>
      <c r="U15" s="4" t="s">
        <v>1</v>
      </c>
      <c r="V15">
        <v>1</v>
      </c>
      <c r="W15" s="14"/>
      <c r="Y15" t="s">
        <v>1</v>
      </c>
      <c r="AB15" s="14"/>
      <c r="AD15" t="s">
        <v>1</v>
      </c>
      <c r="AE15">
        <v>1</v>
      </c>
      <c r="AH15" s="13" t="s">
        <v>1</v>
      </c>
      <c r="AJ15" s="5"/>
      <c r="AL15" s="33">
        <v>28</v>
      </c>
      <c r="AM15" s="34"/>
      <c r="AN15" s="34"/>
      <c r="AO15" s="34"/>
      <c r="AP15" s="34"/>
      <c r="AQ15" s="36" t="e">
        <f t="shared" si="2"/>
        <v>#DIV/0!</v>
      </c>
      <c r="AR15" s="36" t="e">
        <f t="shared" si="3"/>
        <v>#DIV/0!</v>
      </c>
      <c r="AS15" s="13"/>
      <c r="AU15">
        <v>2</v>
      </c>
      <c r="AV15">
        <v>3</v>
      </c>
      <c r="AW15">
        <v>2</v>
      </c>
      <c r="AY15">
        <v>1</v>
      </c>
    </row>
    <row r="16" spans="1:51" x14ac:dyDescent="0.2">
      <c r="A16" t="s">
        <v>2</v>
      </c>
      <c r="B16">
        <f>SUM(SkottSpelare!S13,SkottSpelare!S28,SkottSpelare!S43,SkottSpelare!S58,SkottSpelare!S73,SkottSpelare!S88,SkottSpelare!S103,SkottSpelare!S118,SkottSpelare!S133,SkottSpelare!S148,SkottSpelare!S163,SkottSpelare!S178,SkottSpelare!S193,SkottSpelare!S208,SkottSpelare!S223,SkottSpelare!S238,SkottSpelare!S253,SkottSpelare!S268,SkottSpelare!S283,SkottSpelare!S298,SkottSpelare!S313,SkottSpelare!S328,SkottSpelare!S343,SkottSpelare!S358,SkottSpelare!S373,SkottSpelare!S388,SkottSpelare!S403,SkottSpelare!S418,SkottSpelare!S433,SkottSpelare!S448,SkottSpelare!S463,SkottSpelare!S478)</f>
        <v>0</v>
      </c>
      <c r="C16" s="14"/>
      <c r="E16" t="s">
        <v>2</v>
      </c>
      <c r="F16">
        <f>SUM(SkottSpelare!U13,SkottSpelare!U28,SkottSpelare!U43,SkottSpelare!U58,SkottSpelare!U73,SkottSpelare!U88,SkottSpelare!U103,SkottSpelare!U118,SkottSpelare!U133,SkottSpelare!U148,SkottSpelare!U163,SkottSpelare!U178,SkottSpelare!U193,SkottSpelare!U208,SkottSpelare!U223,SkottSpelare!U238,SkottSpelare!U253,SkottSpelare!U268,SkottSpelare!U283,SkottSpelare!U298,SkottSpelare!U313,SkottSpelare!U328,SkottSpelare!U343,SkottSpelare!U358,SkottSpelare!U373,SkottSpelare!U388,SkottSpelare!U403,SkottSpelare!U418,SkottSpelare!U433,SkottSpelare!U448,SkottSpelare!U463,SkottSpelare!U478)</f>
        <v>0</v>
      </c>
      <c r="H16" s="14"/>
      <c r="J16" t="s">
        <v>2</v>
      </c>
      <c r="K16">
        <f>SUM(SkottSpelare!X13,SkottSpelare!X28,SkottSpelare!X43,SkottSpelare!X58,SkottSpelare!X73,SkottSpelare!X88,SkottSpelare!X103,SkottSpelare!X118,SkottSpelare!X133,SkottSpelare!X148,SkottSpelare!X163,SkottSpelare!X178,SkottSpelare!X193,SkottSpelare!X208,SkottSpelare!X223,SkottSpelare!X238,SkottSpelare!X253,SkottSpelare!X268,SkottSpelare!X283,SkottSpelare!X298,SkottSpelare!X313,SkottSpelare!X328,SkottSpelare!X343,SkottSpelare!X358,SkottSpelare!X373,SkottSpelare!X388,SkottSpelare!X403,SkottSpelare!X418,SkottSpelare!X433,SkottSpelare!X448,SkottSpelare!X463,SkottSpelare!X478)</f>
        <v>2</v>
      </c>
      <c r="N16" s="13" t="s">
        <v>2</v>
      </c>
      <c r="O16">
        <f>SUM(SkottSpelare!AA13,SkottSpelare!AA28,SkottSpelare!AA43,SkottSpelare!AA58,SkottSpelare!AA73,SkottSpelare!AA88,SkottSpelare!AA103,SkottSpelare!AA118,SkottSpelare!AA133,SkottSpelare!AA148,SkottSpelare!AA163,SkottSpelare!AA178,SkottSpelare!AA193,SkottSpelare!AA208,SkottSpelare!AA223,SkottSpelare!AA238,SkottSpelare!AA253,SkottSpelare!AA268,SkottSpelare!AA283,SkottSpelare!AA298,SkottSpelare!AA313,SkottSpelare!AA328,SkottSpelare!AA343,SkottSpelare!AA358,SkottSpelare!AA373,SkottSpelare!AA388,SkottSpelare!AA403,SkottSpelare!AA418,SkottSpelare!AA433,SkottSpelare!AA448,SkottSpelare!AA463,SkottSpelare!AA478)</f>
        <v>0</v>
      </c>
      <c r="P16" s="5"/>
      <c r="U16" s="4" t="s">
        <v>2</v>
      </c>
      <c r="W16" s="14"/>
      <c r="Y16" t="s">
        <v>2</v>
      </c>
      <c r="AB16" s="14"/>
      <c r="AD16" t="s">
        <v>2</v>
      </c>
      <c r="AH16" s="13" t="s">
        <v>2</v>
      </c>
      <c r="AJ16" s="5"/>
      <c r="AL16" s="33">
        <v>20</v>
      </c>
      <c r="AM16" s="34"/>
      <c r="AN16" s="34"/>
      <c r="AO16" s="34"/>
      <c r="AP16" s="34"/>
      <c r="AQ16" s="36" t="e">
        <f t="shared" si="2"/>
        <v>#DIV/0!</v>
      </c>
      <c r="AR16" s="36" t="e">
        <f t="shared" si="3"/>
        <v>#DIV/0!</v>
      </c>
      <c r="AS16" s="13">
        <v>1</v>
      </c>
      <c r="AT16">
        <v>1</v>
      </c>
      <c r="AW16">
        <v>2</v>
      </c>
    </row>
    <row r="17" spans="1:51" x14ac:dyDescent="0.2">
      <c r="A17" t="s">
        <v>3</v>
      </c>
      <c r="B17">
        <f>SUM(SkottSpelare!S14,SkottSpelare!S29,SkottSpelare!S44,SkottSpelare!S59,SkottSpelare!S74,SkottSpelare!S89,SkottSpelare!S104,SkottSpelare!S119,SkottSpelare!S134,SkottSpelare!S149,SkottSpelare!S164,SkottSpelare!S179,SkottSpelare!S194,SkottSpelare!S209,SkottSpelare!S224,SkottSpelare!S239,SkottSpelare!S254,SkottSpelare!S269,SkottSpelare!S284,SkottSpelare!S299,SkottSpelare!S314,SkottSpelare!S329,SkottSpelare!S344,SkottSpelare!S359,SkottSpelare!S374,SkottSpelare!S389,SkottSpelare!S404,SkottSpelare!S419,SkottSpelare!S434,SkottSpelare!S449,SkottSpelare!S464,SkottSpelare!S479)</f>
        <v>0</v>
      </c>
      <c r="C17" s="14"/>
      <c r="E17" t="s">
        <v>3</v>
      </c>
      <c r="F17">
        <f>SUM(SkottSpelare!U14,SkottSpelare!U29,SkottSpelare!U44,SkottSpelare!U59,SkottSpelare!U74,SkottSpelare!U89,SkottSpelare!U104,SkottSpelare!U119,SkottSpelare!U134,SkottSpelare!U149,SkottSpelare!U164,SkottSpelare!U179,SkottSpelare!U194,SkottSpelare!U209,SkottSpelare!U224,SkottSpelare!U239,SkottSpelare!U254,SkottSpelare!U269,SkottSpelare!U284,SkottSpelare!U299,SkottSpelare!U314,SkottSpelare!U329,SkottSpelare!U344,SkottSpelare!U359,SkottSpelare!U374,SkottSpelare!U389,SkottSpelare!U404,SkottSpelare!U419,SkottSpelare!U434,SkottSpelare!U449,SkottSpelare!U464,SkottSpelare!U479)</f>
        <v>0</v>
      </c>
      <c r="H17" s="14"/>
      <c r="J17" t="s">
        <v>3</v>
      </c>
      <c r="K17">
        <f>SUM(SkottSpelare!X14,SkottSpelare!X29,SkottSpelare!X44,SkottSpelare!X59,SkottSpelare!X74,SkottSpelare!X89,SkottSpelare!X104,SkottSpelare!X119,SkottSpelare!X134,SkottSpelare!X149,SkottSpelare!X164,SkottSpelare!X179,SkottSpelare!X194,SkottSpelare!X209,SkottSpelare!X224,SkottSpelare!X239,SkottSpelare!X254,SkottSpelare!X269,SkottSpelare!X284,SkottSpelare!X299,SkottSpelare!X314,SkottSpelare!X329,SkottSpelare!X344,SkottSpelare!X359,SkottSpelare!X374,SkottSpelare!X389,SkottSpelare!X404,SkottSpelare!X419,SkottSpelare!X434,SkottSpelare!X449,SkottSpelare!X464,SkottSpelare!X479)</f>
        <v>1</v>
      </c>
      <c r="N17" s="13" t="s">
        <v>3</v>
      </c>
      <c r="O17">
        <f>SUM(SkottSpelare!AA14,SkottSpelare!AA29,SkottSpelare!AA44,SkottSpelare!AA59,SkottSpelare!AA74,SkottSpelare!AA89,SkottSpelare!AA104,SkottSpelare!AA119,SkottSpelare!AA134,SkottSpelare!AA149,SkottSpelare!AA164,SkottSpelare!AA179,SkottSpelare!AA194,SkottSpelare!AA209,SkottSpelare!AA224,SkottSpelare!AA239,SkottSpelare!AA254,SkottSpelare!AA269,SkottSpelare!AA284,SkottSpelare!AA299,SkottSpelare!AA314,SkottSpelare!AA329,SkottSpelare!AA344,SkottSpelare!AA359,SkottSpelare!AA374,SkottSpelare!AA389,SkottSpelare!AA404,SkottSpelare!AA419,SkottSpelare!AA434,SkottSpelare!AA449,SkottSpelare!AA464,SkottSpelare!AA479)</f>
        <v>0</v>
      </c>
      <c r="P17" s="5"/>
      <c r="U17" s="4" t="s">
        <v>3</v>
      </c>
      <c r="W17" s="14"/>
      <c r="Y17" t="s">
        <v>3</v>
      </c>
      <c r="AB17" s="14"/>
      <c r="AD17" t="s">
        <v>3</v>
      </c>
      <c r="AH17" s="13" t="s">
        <v>3</v>
      </c>
      <c r="AJ17" s="5"/>
      <c r="AL17" s="33">
        <v>21</v>
      </c>
      <c r="AM17" s="34"/>
      <c r="AN17" s="34"/>
      <c r="AO17" s="34"/>
      <c r="AP17" s="34"/>
      <c r="AQ17" s="36" t="e">
        <f t="shared" si="2"/>
        <v>#DIV/0!</v>
      </c>
      <c r="AR17" s="36" t="e">
        <f t="shared" si="3"/>
        <v>#DIV/0!</v>
      </c>
      <c r="AS17" s="13">
        <v>1</v>
      </c>
      <c r="AT17">
        <v>3</v>
      </c>
      <c r="AU17">
        <v>1</v>
      </c>
      <c r="AV17">
        <v>3</v>
      </c>
      <c r="AW17">
        <v>1</v>
      </c>
      <c r="AY17">
        <v>4</v>
      </c>
    </row>
    <row r="18" spans="1:51" x14ac:dyDescent="0.2">
      <c r="A18" s="4"/>
      <c r="C18" s="14"/>
      <c r="H18" s="14"/>
      <c r="N18" s="13"/>
      <c r="P18" s="5"/>
      <c r="U18" s="4"/>
      <c r="W18" s="14"/>
      <c r="AB18" s="14"/>
      <c r="AH18" s="13"/>
      <c r="AJ18" s="5"/>
      <c r="AL18" s="33">
        <v>39</v>
      </c>
      <c r="AM18" s="34"/>
      <c r="AN18" s="34"/>
      <c r="AO18" s="34"/>
      <c r="AP18" s="34"/>
      <c r="AQ18" s="36" t="e">
        <f t="shared" si="2"/>
        <v>#DIV/0!</v>
      </c>
      <c r="AR18" s="36" t="e">
        <f t="shared" si="3"/>
        <v>#DIV/0!</v>
      </c>
      <c r="AS18" s="13">
        <v>2</v>
      </c>
      <c r="AT18">
        <v>2</v>
      </c>
      <c r="AV18">
        <v>4</v>
      </c>
      <c r="AW18">
        <v>2</v>
      </c>
      <c r="AX18">
        <v>2</v>
      </c>
      <c r="AY18">
        <v>1</v>
      </c>
    </row>
    <row r="19" spans="1:51" ht="17" thickBot="1" x14ac:dyDescent="0.25">
      <c r="A19" s="6"/>
      <c r="B19" s="7"/>
      <c r="C19" s="24"/>
      <c r="D19" s="7"/>
      <c r="E19" s="7"/>
      <c r="F19" s="7"/>
      <c r="G19" s="7"/>
      <c r="H19" s="24"/>
      <c r="I19" s="7"/>
      <c r="J19" s="7"/>
      <c r="K19" s="7"/>
      <c r="L19" s="7"/>
      <c r="M19" s="7"/>
      <c r="N19" s="25"/>
      <c r="O19" s="7"/>
      <c r="P19" s="8"/>
      <c r="U19" s="6"/>
      <c r="V19" s="7"/>
      <c r="W19" s="24"/>
      <c r="X19" s="7"/>
      <c r="Y19" s="7"/>
      <c r="Z19" s="7"/>
      <c r="AA19" s="7"/>
      <c r="AB19" s="24"/>
      <c r="AC19" s="7"/>
      <c r="AD19" s="7"/>
      <c r="AE19" s="7"/>
      <c r="AF19" s="7"/>
      <c r="AG19" s="7"/>
      <c r="AH19" s="25"/>
      <c r="AI19" s="7"/>
      <c r="AJ19" s="8"/>
      <c r="AL19" s="33">
        <v>40</v>
      </c>
      <c r="AM19" s="34"/>
      <c r="AN19" s="34"/>
      <c r="AO19" s="34"/>
      <c r="AP19" s="34"/>
      <c r="AQ19" s="36" t="e">
        <f t="shared" si="2"/>
        <v>#DIV/0!</v>
      </c>
      <c r="AR19" s="36" t="e">
        <f t="shared" si="3"/>
        <v>#DIV/0!</v>
      </c>
      <c r="AS19" s="13">
        <v>1</v>
      </c>
      <c r="AT19">
        <v>2</v>
      </c>
      <c r="AV19">
        <v>1</v>
      </c>
      <c r="AW19">
        <v>2</v>
      </c>
      <c r="AY19">
        <v>1</v>
      </c>
    </row>
    <row r="20" spans="1:51" x14ac:dyDescent="0.2">
      <c r="AL20" s="33">
        <v>41</v>
      </c>
      <c r="AM20" s="34"/>
      <c r="AN20" s="34"/>
      <c r="AO20" s="34"/>
      <c r="AP20" s="34"/>
      <c r="AQ20" s="36" t="e">
        <f t="shared" si="2"/>
        <v>#DIV/0!</v>
      </c>
      <c r="AR20" s="36" t="e">
        <f t="shared" si="3"/>
        <v>#DIV/0!</v>
      </c>
      <c r="AS20" s="13"/>
    </row>
    <row r="21" spans="1:51" x14ac:dyDescent="0.2">
      <c r="A21" s="27" t="s">
        <v>6</v>
      </c>
      <c r="B21" s="27"/>
      <c r="D21" t="s">
        <v>7</v>
      </c>
      <c r="E21" s="123" t="s">
        <v>8</v>
      </c>
      <c r="F21" s="123"/>
      <c r="G21" s="123"/>
      <c r="H21" t="s">
        <v>7</v>
      </c>
      <c r="J21" s="124"/>
      <c r="K21" s="124"/>
      <c r="L21" s="124"/>
      <c r="M21" s="124"/>
      <c r="AL21" s="33">
        <v>52</v>
      </c>
      <c r="AS21" s="13"/>
      <c r="AT21">
        <v>3</v>
      </c>
      <c r="AV21">
        <v>1</v>
      </c>
      <c r="AW21">
        <v>3</v>
      </c>
      <c r="AX21">
        <v>1</v>
      </c>
    </row>
    <row r="22" spans="1:51" x14ac:dyDescent="0.2">
      <c r="A22" s="17" t="s">
        <v>9</v>
      </c>
      <c r="B22" s="17"/>
      <c r="C22" s="18">
        <f>SUM(B4,B9,G9,I4,O4,O14,K14,F14,B14,O9)</f>
        <v>9</v>
      </c>
      <c r="D22" s="17"/>
      <c r="E22" s="17" t="s">
        <v>9</v>
      </c>
      <c r="F22" s="17"/>
      <c r="G22" s="18">
        <f>SUM(V4,V9,V14,Z14,AA9,AC4,AE14,AI14,AI9,AI4)</f>
        <v>4</v>
      </c>
      <c r="H22" s="17"/>
      <c r="J22" s="125" t="s">
        <v>19</v>
      </c>
      <c r="K22" s="125"/>
      <c r="L22" s="125"/>
      <c r="M22" s="125"/>
      <c r="N22" s="125"/>
      <c r="O22" s="125"/>
      <c r="T22" s="27" t="s">
        <v>28</v>
      </c>
      <c r="AL22" s="33">
        <v>96</v>
      </c>
      <c r="AM22" s="34"/>
      <c r="AN22" s="34"/>
      <c r="AO22" s="34"/>
      <c r="AP22" s="34"/>
      <c r="AQ22" s="36" t="e">
        <f>SUM(AM22/(AM22+AN22+AO22))</f>
        <v>#DIV/0!</v>
      </c>
      <c r="AR22" s="36" t="e">
        <f>SUM(AP22/(AO22+AN22+AM22))</f>
        <v>#DIV/0!</v>
      </c>
      <c r="AS22" s="13"/>
      <c r="AT22">
        <v>2</v>
      </c>
      <c r="AV22">
        <v>1</v>
      </c>
      <c r="AW22">
        <v>3</v>
      </c>
      <c r="AY22">
        <v>1</v>
      </c>
    </row>
    <row r="23" spans="1:51" x14ac:dyDescent="0.2">
      <c r="A23" s="28" t="s">
        <v>10</v>
      </c>
      <c r="B23" s="28"/>
      <c r="C23" s="18">
        <f>SUM(B5,B10,B15,G10,F15,I5,K15,O15,O10,O5)</f>
        <v>13</v>
      </c>
      <c r="D23" s="28"/>
      <c r="E23" s="28" t="s">
        <v>10</v>
      </c>
      <c r="F23" s="28"/>
      <c r="G23" s="18">
        <f>SUM(V5,V10,V15,AA10,AC5,Z15,AE15,AI5,AI10,AI15)</f>
        <v>6</v>
      </c>
      <c r="H23" s="28"/>
      <c r="J23" s="98" t="s">
        <v>20</v>
      </c>
      <c r="K23" s="99"/>
      <c r="L23" s="98" t="s">
        <v>21</v>
      </c>
      <c r="M23" s="99"/>
      <c r="N23" s="128" t="s">
        <v>22</v>
      </c>
      <c r="O23" s="129"/>
      <c r="T23" s="15" t="s">
        <v>29</v>
      </c>
      <c r="U23" s="16" t="s">
        <v>7</v>
      </c>
      <c r="V23" s="98" t="s">
        <v>15</v>
      </c>
      <c r="W23" s="99"/>
      <c r="X23" s="98" t="s">
        <v>16</v>
      </c>
      <c r="Y23" s="99"/>
      <c r="AL23" s="33">
        <v>43</v>
      </c>
      <c r="AM23" s="34"/>
      <c r="AN23" s="34"/>
      <c r="AO23" s="34"/>
      <c r="AP23" s="34"/>
      <c r="AQ23" s="36" t="e">
        <f>SUM(AM23/(AM23+AN23+AO23))</f>
        <v>#DIV/0!</v>
      </c>
      <c r="AR23" s="36" t="e">
        <f>SUM(AP23/(AO23+AN23+AM23))</f>
        <v>#DIV/0!</v>
      </c>
      <c r="AS23" s="13"/>
      <c r="AT23">
        <v>2</v>
      </c>
      <c r="AW23">
        <v>4</v>
      </c>
      <c r="AY23">
        <v>1</v>
      </c>
    </row>
    <row r="24" spans="1:51" x14ac:dyDescent="0.2">
      <c r="A24" s="28" t="s">
        <v>11</v>
      </c>
      <c r="B24" s="28"/>
      <c r="C24" s="18">
        <f>SUM(B11,B6,B16,O6,I6,G11,F16,K16,O16,O11)</f>
        <v>9</v>
      </c>
      <c r="D24" s="28"/>
      <c r="E24" s="28" t="s">
        <v>11</v>
      </c>
      <c r="F24" s="28"/>
      <c r="G24" s="18">
        <f>SUM(V6,V11,V16,AA11,AC6,Z16,AE16,AI6,AI11,AI16)</f>
        <v>4</v>
      </c>
      <c r="H24" s="28"/>
      <c r="J24" s="9" t="s">
        <v>27</v>
      </c>
      <c r="K24" s="20"/>
      <c r="L24" s="9" t="s">
        <v>27</v>
      </c>
      <c r="M24" s="9"/>
      <c r="N24" s="9" t="s">
        <v>27</v>
      </c>
      <c r="O24" s="10"/>
      <c r="T24" s="100">
        <v>1</v>
      </c>
      <c r="U24" s="101"/>
      <c r="V24" s="100">
        <v>1</v>
      </c>
      <c r="W24" s="101"/>
      <c r="X24" s="100"/>
      <c r="Y24" s="101"/>
      <c r="AL24" s="33">
        <v>97</v>
      </c>
      <c r="AS24" s="13"/>
    </row>
    <row r="25" spans="1:51" x14ac:dyDescent="0.2">
      <c r="A25" s="17" t="s">
        <v>12</v>
      </c>
      <c r="B25" s="17"/>
      <c r="C25" s="18">
        <f>SUM(B17,B12,B7,I7,G12,F17,K17,O17,O12,O7)</f>
        <v>4</v>
      </c>
      <c r="D25" s="28"/>
      <c r="E25" s="28" t="s">
        <v>12</v>
      </c>
      <c r="F25" s="28"/>
      <c r="G25" s="18">
        <f>SUM(V7,V12,V17,Z17,AA12,AC7,AE17,AI7,AI12,AI17)</f>
        <v>1</v>
      </c>
      <c r="H25" s="28"/>
      <c r="J25" s="13" t="s">
        <v>16</v>
      </c>
      <c r="L25" s="13" t="s">
        <v>16</v>
      </c>
      <c r="N25" s="13" t="s">
        <v>16</v>
      </c>
      <c r="O25" s="14"/>
      <c r="T25" s="102"/>
      <c r="U25" s="103"/>
      <c r="V25" s="102"/>
      <c r="W25" s="103"/>
      <c r="X25" s="102"/>
      <c r="Y25" s="103"/>
      <c r="AL25" s="33" t="s">
        <v>54</v>
      </c>
      <c r="AM25" s="34"/>
      <c r="AN25" s="34"/>
      <c r="AO25" s="34"/>
      <c r="AP25" s="34"/>
      <c r="AQ25" s="36" t="e">
        <f>SUM(AM25/(AM25+AN25+AO25))</f>
        <v>#DIV/0!</v>
      </c>
      <c r="AR25" s="36" t="e">
        <f>SUM(AP25/(AO25+AN25+AM25))</f>
        <v>#DIV/0!</v>
      </c>
    </row>
    <row r="26" spans="1:51" x14ac:dyDescent="0.2">
      <c r="C26" s="18"/>
      <c r="G26" s="18"/>
      <c r="J26" s="11"/>
      <c r="K26" s="17"/>
      <c r="L26" s="11"/>
      <c r="M26" s="17"/>
      <c r="N26" s="11"/>
      <c r="O26" s="12"/>
      <c r="T26" s="102"/>
      <c r="U26" s="103"/>
      <c r="V26" s="102"/>
      <c r="W26" s="103"/>
      <c r="X26" s="102"/>
      <c r="Y26" s="103"/>
      <c r="AL26" s="33" t="s">
        <v>54</v>
      </c>
      <c r="AM26" s="34"/>
      <c r="AN26" s="34"/>
      <c r="AO26" s="34"/>
      <c r="AP26" s="34"/>
      <c r="AQ26" s="36" t="e">
        <f>SUM(AM26/(AM26+AN26+AO26))</f>
        <v>#DIV/0!</v>
      </c>
      <c r="AR26" s="36" t="e">
        <f>SUM(AP26/(AO26+AN26+AM26))</f>
        <v>#DIV/0!</v>
      </c>
    </row>
    <row r="27" spans="1:51" x14ac:dyDescent="0.2">
      <c r="A27" s="98" t="s">
        <v>13</v>
      </c>
      <c r="B27" s="126"/>
      <c r="C27" s="126"/>
      <c r="D27" s="99"/>
      <c r="E27" s="98" t="s">
        <v>14</v>
      </c>
      <c r="F27" s="126"/>
      <c r="G27" s="126"/>
      <c r="H27" s="99"/>
      <c r="T27" s="104"/>
      <c r="U27" s="105"/>
      <c r="V27" s="104"/>
      <c r="W27" s="105"/>
      <c r="X27" s="104"/>
      <c r="Y27" s="105"/>
      <c r="AL27" s="33" t="s">
        <v>54</v>
      </c>
      <c r="AM27" s="34"/>
      <c r="AN27" s="34"/>
      <c r="AO27" s="34"/>
      <c r="AP27" s="34"/>
      <c r="AQ27" s="36" t="e">
        <f>SUM(AM27/(AM27+AN27+AO27))</f>
        <v>#DIV/0!</v>
      </c>
      <c r="AR27" s="36" t="e">
        <f>SUM(AP27/(AO27+AN27+AM27))</f>
        <v>#DIV/0!</v>
      </c>
    </row>
    <row r="28" spans="1:51" x14ac:dyDescent="0.2">
      <c r="A28" s="98" t="s">
        <v>15</v>
      </c>
      <c r="B28" s="99"/>
      <c r="C28" s="98" t="s">
        <v>16</v>
      </c>
      <c r="D28" s="99"/>
      <c r="E28" s="29" t="s">
        <v>17</v>
      </c>
      <c r="F28" s="28"/>
      <c r="G28" s="29" t="s">
        <v>18</v>
      </c>
      <c r="H28" s="16"/>
      <c r="J28" s="118" t="s">
        <v>23</v>
      </c>
      <c r="K28" s="127"/>
      <c r="L28" s="106" t="s">
        <v>24</v>
      </c>
      <c r="M28" s="108"/>
      <c r="N28" s="106" t="s">
        <v>25</v>
      </c>
      <c r="O28" s="108"/>
      <c r="P28" s="30" t="s">
        <v>26</v>
      </c>
      <c r="AL28" s="33" t="s">
        <v>54</v>
      </c>
      <c r="AM28" s="34"/>
      <c r="AN28" s="34"/>
      <c r="AO28" s="34"/>
      <c r="AP28" s="34"/>
      <c r="AQ28" s="36" t="e">
        <f>SUM(AM28/(AM28+AN28+AO28))</f>
        <v>#DIV/0!</v>
      </c>
      <c r="AR28" s="36" t="e">
        <f>SUM(AP28/(AO28+AN28+AM28))</f>
        <v>#DIV/0!</v>
      </c>
      <c r="AS28" s="34"/>
      <c r="AT28" s="34"/>
    </row>
    <row r="29" spans="1:51" x14ac:dyDescent="0.2">
      <c r="A29" s="13">
        <v>3</v>
      </c>
      <c r="B29" s="14"/>
      <c r="C29" s="9">
        <v>2</v>
      </c>
      <c r="D29" s="20"/>
      <c r="E29" s="9"/>
      <c r="F29" s="20"/>
      <c r="G29" s="9"/>
      <c r="H29" s="10"/>
      <c r="J29" s="15">
        <f>SUM(G22)</f>
        <v>4</v>
      </c>
      <c r="K29" s="16"/>
      <c r="L29" s="15">
        <f>SUM(G22-G25)</f>
        <v>3</v>
      </c>
      <c r="M29" s="16"/>
      <c r="N29" s="15">
        <f>SUM(G25)</f>
        <v>1</v>
      </c>
      <c r="O29" s="16"/>
      <c r="P29" s="121">
        <f>SUM(L29/J29)</f>
        <v>0.75</v>
      </c>
      <c r="Q29" s="120"/>
      <c r="T29" s="27" t="s">
        <v>142</v>
      </c>
    </row>
    <row r="30" spans="1:51" x14ac:dyDescent="0.2">
      <c r="A30" s="13"/>
      <c r="B30" s="14"/>
      <c r="C30" s="13"/>
      <c r="E30" s="13"/>
      <c r="G30" s="13"/>
      <c r="H30" s="14"/>
      <c r="T30" s="15" t="s">
        <v>29</v>
      </c>
      <c r="U30" s="16" t="s">
        <v>7</v>
      </c>
      <c r="V30" s="98" t="s">
        <v>15</v>
      </c>
      <c r="W30" s="99"/>
      <c r="X30" s="98" t="s">
        <v>16</v>
      </c>
      <c r="Y30" s="99"/>
    </row>
    <row r="31" spans="1:51" x14ac:dyDescent="0.2">
      <c r="A31" s="13"/>
      <c r="B31" s="14"/>
      <c r="C31" s="13"/>
      <c r="E31" s="13"/>
      <c r="G31" s="13"/>
      <c r="H31" s="14"/>
      <c r="J31" s="106" t="s">
        <v>60</v>
      </c>
      <c r="K31" s="107"/>
      <c r="L31" s="108"/>
      <c r="M31" s="15" t="s">
        <v>62</v>
      </c>
      <c r="N31" s="84">
        <v>9.8000000000000007</v>
      </c>
      <c r="O31" s="10"/>
      <c r="T31" s="100">
        <v>5</v>
      </c>
      <c r="U31" s="101"/>
      <c r="V31" s="100">
        <v>4</v>
      </c>
      <c r="W31" s="101"/>
      <c r="X31" s="100">
        <v>1</v>
      </c>
      <c r="Y31" s="101"/>
    </row>
    <row r="32" spans="1:51" x14ac:dyDescent="0.2">
      <c r="A32" s="13"/>
      <c r="B32" s="14"/>
      <c r="C32" s="13"/>
      <c r="E32" s="13"/>
      <c r="G32" s="13"/>
      <c r="H32" s="14"/>
      <c r="J32" s="13"/>
      <c r="K32" s="111">
        <f>N31/20</f>
        <v>0.49000000000000005</v>
      </c>
      <c r="L32" s="112"/>
      <c r="M32" s="112">
        <f>1-K32</f>
        <v>0.51</v>
      </c>
      <c r="N32" s="115"/>
      <c r="O32" s="14"/>
      <c r="T32" s="102"/>
      <c r="U32" s="103"/>
      <c r="V32" s="102"/>
      <c r="W32" s="103"/>
      <c r="X32" s="102"/>
      <c r="Y32" s="103"/>
    </row>
    <row r="33" spans="1:25" x14ac:dyDescent="0.2">
      <c r="A33" s="11"/>
      <c r="B33" s="12"/>
      <c r="C33" s="11"/>
      <c r="D33" s="17"/>
      <c r="E33" s="11"/>
      <c r="F33" s="17"/>
      <c r="G33" s="11"/>
      <c r="H33" s="12"/>
      <c r="J33" s="11"/>
      <c r="K33" s="113"/>
      <c r="L33" s="114"/>
      <c r="M33" s="114"/>
      <c r="N33" s="116"/>
      <c r="O33" s="12"/>
      <c r="T33" s="102"/>
      <c r="U33" s="103"/>
      <c r="V33" s="102"/>
      <c r="W33" s="103"/>
      <c r="X33" s="102"/>
      <c r="Y33" s="103"/>
    </row>
    <row r="34" spans="1:25" x14ac:dyDescent="0.2">
      <c r="A34" s="117"/>
      <c r="B34" s="117"/>
      <c r="C34" s="117"/>
      <c r="D34" s="117"/>
      <c r="K34" s="117" t="s">
        <v>143</v>
      </c>
      <c r="L34" s="117"/>
      <c r="M34" s="117" t="s">
        <v>61</v>
      </c>
      <c r="N34" s="117"/>
      <c r="T34" s="104"/>
      <c r="U34" s="105"/>
      <c r="V34" s="104"/>
      <c r="W34" s="105"/>
      <c r="X34" s="104"/>
      <c r="Y34" s="105"/>
    </row>
  </sheetData>
  <sortState xmlns:xlrd2="http://schemas.microsoft.com/office/spreadsheetml/2017/richdata2" ref="AL2:AU28">
    <sortCondition ref="AL2:AL28"/>
  </sortState>
  <mergeCells count="32">
    <mergeCell ref="J31:L31"/>
    <mergeCell ref="K32:L33"/>
    <mergeCell ref="M32:N33"/>
    <mergeCell ref="K34:L34"/>
    <mergeCell ref="M34:N34"/>
    <mergeCell ref="N28:O28"/>
    <mergeCell ref="V23:W23"/>
    <mergeCell ref="X23:Y23"/>
    <mergeCell ref="V24:W27"/>
    <mergeCell ref="X24:Y27"/>
    <mergeCell ref="T24:U27"/>
    <mergeCell ref="A34:D34"/>
    <mergeCell ref="L28:M28"/>
    <mergeCell ref="G1:J1"/>
    <mergeCell ref="AA1:AD1"/>
    <mergeCell ref="E21:G21"/>
    <mergeCell ref="J21:M21"/>
    <mergeCell ref="J22:O22"/>
    <mergeCell ref="J23:K23"/>
    <mergeCell ref="L23:M23"/>
    <mergeCell ref="N23:O23"/>
    <mergeCell ref="A27:D27"/>
    <mergeCell ref="E27:H27"/>
    <mergeCell ref="A28:B28"/>
    <mergeCell ref="C28:D28"/>
    <mergeCell ref="J28:K28"/>
    <mergeCell ref="P29:Q29"/>
    <mergeCell ref="V30:W30"/>
    <mergeCell ref="X30:Y30"/>
    <mergeCell ref="T31:U34"/>
    <mergeCell ref="V31:W34"/>
    <mergeCell ref="X31:Y34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A951C-CAE8-064E-802C-D83E93419CC9}">
  <sheetPr codeName="Blad5"/>
  <dimension ref="A1:AY34"/>
  <sheetViews>
    <sheetView zoomScale="80" zoomScaleNormal="80" workbookViewId="0">
      <selection activeCell="AY18" sqref="AY18"/>
    </sheetView>
  </sheetViews>
  <sheetFormatPr baseColWidth="10" defaultRowHeight="16" x14ac:dyDescent="0.2"/>
  <cols>
    <col min="1" max="19" width="4.1640625" customWidth="1"/>
    <col min="21" max="36" width="4.1640625" customWidth="1"/>
    <col min="39" max="44" width="0" hidden="1" customWidth="1"/>
    <col min="47" max="47" width="5.83203125" customWidth="1"/>
  </cols>
  <sheetData>
    <row r="1" spans="1:51" ht="17" x14ac:dyDescent="0.2">
      <c r="A1" s="1"/>
      <c r="B1" s="2"/>
      <c r="C1" s="2"/>
      <c r="D1" s="2"/>
      <c r="E1" s="2"/>
      <c r="F1" s="2"/>
      <c r="G1" s="122" t="s">
        <v>4</v>
      </c>
      <c r="H1" s="122"/>
      <c r="I1" s="122"/>
      <c r="J1" s="122"/>
      <c r="K1" s="2"/>
      <c r="L1" s="2"/>
      <c r="M1" s="2"/>
      <c r="N1" s="2"/>
      <c r="O1" s="2"/>
      <c r="P1" s="3"/>
      <c r="U1" s="1"/>
      <c r="V1" s="2"/>
      <c r="W1" s="2"/>
      <c r="X1" s="2"/>
      <c r="Y1" s="2"/>
      <c r="Z1" s="2"/>
      <c r="AA1" s="122" t="s">
        <v>5</v>
      </c>
      <c r="AB1" s="122"/>
      <c r="AC1" s="122"/>
      <c r="AD1" s="122"/>
      <c r="AE1" s="2"/>
      <c r="AF1" s="2"/>
      <c r="AG1" s="2"/>
      <c r="AH1" s="2"/>
      <c r="AI1" s="2"/>
      <c r="AJ1" s="3"/>
      <c r="AL1" s="34" t="s">
        <v>38</v>
      </c>
      <c r="AM1" t="s">
        <v>9</v>
      </c>
      <c r="AN1" t="s">
        <v>10</v>
      </c>
      <c r="AO1" t="s">
        <v>11</v>
      </c>
      <c r="AP1" t="s">
        <v>12</v>
      </c>
      <c r="AQ1" s="36" t="s">
        <v>41</v>
      </c>
      <c r="AR1" t="s">
        <v>42</v>
      </c>
      <c r="AS1" s="13" t="s">
        <v>39</v>
      </c>
      <c r="AT1" t="s">
        <v>68</v>
      </c>
      <c r="AU1" t="s">
        <v>57</v>
      </c>
      <c r="AV1" t="s">
        <v>69</v>
      </c>
      <c r="AW1" t="s">
        <v>71</v>
      </c>
      <c r="AX1" t="s">
        <v>70</v>
      </c>
      <c r="AY1" t="s">
        <v>72</v>
      </c>
    </row>
    <row r="2" spans="1:51" x14ac:dyDescent="0.2">
      <c r="A2" s="4"/>
      <c r="P2" s="5"/>
      <c r="U2" s="4"/>
      <c r="AJ2" s="5"/>
      <c r="AL2" s="33">
        <v>4</v>
      </c>
      <c r="AM2" s="34"/>
      <c r="AN2" s="34"/>
      <c r="AO2" s="34"/>
      <c r="AP2" s="34"/>
      <c r="AQ2" s="36" t="e">
        <f t="shared" ref="AQ2:AQ9" si="0">SUM(AM2/(AM2+AN2+AO2))</f>
        <v>#DIV/0!</v>
      </c>
      <c r="AR2" s="36" t="e">
        <f t="shared" ref="AR2:AR9" si="1">SUM(AP2/(AO2+AN2+AM2))</f>
        <v>#DIV/0!</v>
      </c>
      <c r="AS2" s="13">
        <v>1</v>
      </c>
      <c r="AW2">
        <v>2</v>
      </c>
      <c r="AY2">
        <v>2</v>
      </c>
    </row>
    <row r="3" spans="1:51" ht="17" thickBot="1" x14ac:dyDescent="0.25">
      <c r="A3" s="19"/>
      <c r="B3" s="20"/>
      <c r="C3" s="20"/>
      <c r="D3" s="20"/>
      <c r="E3" s="20"/>
      <c r="F3" s="20"/>
      <c r="G3" s="20"/>
      <c r="H3" s="21"/>
      <c r="I3" s="22"/>
      <c r="J3" s="20"/>
      <c r="K3" s="20"/>
      <c r="L3" s="20"/>
      <c r="M3" s="20"/>
      <c r="N3" s="20"/>
      <c r="O3" s="20"/>
      <c r="P3" s="23"/>
      <c r="U3" s="19"/>
      <c r="V3" s="20"/>
      <c r="W3" s="20"/>
      <c r="X3" s="20"/>
      <c r="Y3" s="20"/>
      <c r="Z3" s="20"/>
      <c r="AA3" s="20"/>
      <c r="AB3" s="21"/>
      <c r="AC3" s="22"/>
      <c r="AD3" s="20"/>
      <c r="AE3" s="20"/>
      <c r="AF3" s="20"/>
      <c r="AG3" s="20"/>
      <c r="AH3" s="20"/>
      <c r="AI3" s="20"/>
      <c r="AJ3" s="23"/>
      <c r="AL3" s="33">
        <v>7</v>
      </c>
      <c r="AM3" s="34"/>
      <c r="AN3" s="34"/>
      <c r="AO3" s="34"/>
      <c r="AP3" s="34"/>
      <c r="AQ3" s="36" t="e">
        <f t="shared" si="0"/>
        <v>#DIV/0!</v>
      </c>
      <c r="AR3" s="36" t="e">
        <f t="shared" si="1"/>
        <v>#DIV/0!</v>
      </c>
      <c r="AS3" s="13"/>
      <c r="AT3">
        <v>3</v>
      </c>
      <c r="AV3">
        <v>3</v>
      </c>
      <c r="AW3">
        <v>1</v>
      </c>
    </row>
    <row r="4" spans="1:51" x14ac:dyDescent="0.2">
      <c r="A4" t="s">
        <v>0</v>
      </c>
      <c r="B4">
        <f>SUM(SkottSpelare!AG3,SkottSpelare!AG18,SkottSpelare!AG33,SkottSpelare!AG48,SkottSpelare!AG63,SkottSpelare!AG78,SkottSpelare!AG93,SkottSpelare!AG108,SkottSpelare!AG123,SkottSpelare!AG138,SkottSpelare!AG153,SkottSpelare!AG168,SkottSpelare!AG183,SkottSpelare!AG198,SkottSpelare!AG213,SkottSpelare!AG228,SkottSpelare!AG243,SkottSpelare!AG258,SkottSpelare!AG273,SkottSpelare!AG288,SkottSpelare!AG303,SkottSpelare!AG318,SkottSpelare!AG333,SkottSpelare!AG348,SkottSpelare!AG363,SkottSpelare!AG378,SkottSpelare!AG393,SkottSpelare!AG408,SkottSpelare!AG423,SkottSpelare!AG438,SkottSpelare!AG453,SkottSpelare!AG468)</f>
        <v>1</v>
      </c>
      <c r="H4" t="s">
        <v>0</v>
      </c>
      <c r="I4" s="72">
        <f>SUM(SkottSpelare!AK3,SkottSpelare!AK18,SkottSpelare!AK33,SkottSpelare!AK48,SkottSpelare!AK63,SkottSpelare!AK78,SkottSpelare!AK93,SkottSpelare!AK108,SkottSpelare!AK123,SkottSpelare!AK138,SkottSpelare!AK153,SkottSpelare!AK168,SkottSpelare!AK183,SkottSpelare!AK198,SkottSpelare!AK213,SkottSpelare!AK228,SkottSpelare!AK243,SkottSpelare!AK258,SkottSpelare!AK273,SkottSpelare!AK288,SkottSpelare!AK303,SkottSpelare!AK318,SkottSpelare!AK333,SkottSpelare!AK348,SkottSpelare!AK363,SkottSpelare!AK378,SkottSpelare!AK393,SkottSpelare!AK408,SkottSpelare!AK423,SkottSpelare!AK438,SkottSpelare!AK453,SkottSpelare!AK468)</f>
        <v>0</v>
      </c>
      <c r="N4" t="s">
        <v>0</v>
      </c>
      <c r="O4">
        <f>SUM(SkottSpelare!AO3,SkottSpelare!AO18,SkottSpelare!AO33,SkottSpelare!AO48,SkottSpelare!AO63,SkottSpelare!AO78,SkottSpelare!AO93,SkottSpelare!AO108,SkottSpelare!AO123,SkottSpelare!AO138,SkottSpelare!AO153,SkottSpelare!AO168,SkottSpelare!AO183,SkottSpelare!AO198,SkottSpelare!AO213,SkottSpelare!AO228,SkottSpelare!AO243,SkottSpelare!AO258,SkottSpelare!AO273,SkottSpelare!AO288,SkottSpelare!AO303,SkottSpelare!AO318,SkottSpelare!AO333,SkottSpelare!AO348,SkottSpelare!AO363,SkottSpelare!AO378,SkottSpelare!AO393,SkottSpelare!AO408,SkottSpelare!AO423,SkottSpelare!AO438,SkottSpelare!AO453,SkottSpelare!AO468)</f>
        <v>0</v>
      </c>
      <c r="P4" s="5"/>
      <c r="U4" s="4" t="s">
        <v>0</v>
      </c>
      <c r="AB4" t="s">
        <v>0</v>
      </c>
      <c r="AC4">
        <v>2</v>
      </c>
      <c r="AH4" t="s">
        <v>0</v>
      </c>
      <c r="AJ4" s="5"/>
      <c r="AL4" s="33">
        <v>6</v>
      </c>
      <c r="AM4" s="34"/>
      <c r="AN4" s="34"/>
      <c r="AO4" s="34"/>
      <c r="AP4" s="34"/>
      <c r="AQ4" s="36" t="e">
        <f t="shared" si="0"/>
        <v>#DIV/0!</v>
      </c>
      <c r="AR4" s="36" t="e">
        <f t="shared" si="1"/>
        <v>#DIV/0!</v>
      </c>
      <c r="AS4" s="35"/>
      <c r="AT4" s="34"/>
    </row>
    <row r="5" spans="1:51" x14ac:dyDescent="0.2">
      <c r="A5" t="s">
        <v>1</v>
      </c>
      <c r="B5">
        <f>SUM(SkottSpelare!AG4,SkottSpelare!AG19,SkottSpelare!AG34,SkottSpelare!AG49,SkottSpelare!AG64,SkottSpelare!AG79,SkottSpelare!AG94,SkottSpelare!AG109,SkottSpelare!AG124,SkottSpelare!AG139,SkottSpelare!AG154,SkottSpelare!AG169,SkottSpelare!AG184,SkottSpelare!AG199,SkottSpelare!AG214,SkottSpelare!AG229,SkottSpelare!AG244,SkottSpelare!AG259,SkottSpelare!AG274,SkottSpelare!AG289,SkottSpelare!AG304,SkottSpelare!AG319,SkottSpelare!AG334,SkottSpelare!AG349,SkottSpelare!AG364,SkottSpelare!AG379,SkottSpelare!AG394,SkottSpelare!AG409,SkottSpelare!AG424,SkottSpelare!AG439,SkottSpelare!AG454,SkottSpelare!AG469)</f>
        <v>2</v>
      </c>
      <c r="H5" t="s">
        <v>1</v>
      </c>
      <c r="I5" s="72">
        <f>SUM(SkottSpelare!AK4,SkottSpelare!AK19,SkottSpelare!AK34,SkottSpelare!AK49,SkottSpelare!AK64,SkottSpelare!AK79,SkottSpelare!AK94,SkottSpelare!AK109,SkottSpelare!AK124,SkottSpelare!AK139,SkottSpelare!AK154,SkottSpelare!AK169,SkottSpelare!AK184,SkottSpelare!AK199,SkottSpelare!AK214,SkottSpelare!AK229,SkottSpelare!AK244,SkottSpelare!AK259,SkottSpelare!AK274,SkottSpelare!AK289,SkottSpelare!AK304,SkottSpelare!AK319,SkottSpelare!AK334,SkottSpelare!AK349,SkottSpelare!AK364,SkottSpelare!AK379,SkottSpelare!AK394,SkottSpelare!AK409,SkottSpelare!AK424,SkottSpelare!AK439,SkottSpelare!AK454,SkottSpelare!AK469)</f>
        <v>0</v>
      </c>
      <c r="N5" t="s">
        <v>1</v>
      </c>
      <c r="O5">
        <f>SUM(SkottSpelare!AO4,SkottSpelare!AO19,SkottSpelare!AO34,SkottSpelare!AO49,SkottSpelare!AO64,SkottSpelare!AO79,SkottSpelare!AO94,SkottSpelare!AO109,SkottSpelare!AO124,SkottSpelare!AO139,SkottSpelare!AO154,SkottSpelare!AO169,SkottSpelare!AO184,SkottSpelare!AO199,SkottSpelare!AO214,SkottSpelare!AO229,SkottSpelare!AO244,SkottSpelare!AO259,SkottSpelare!AO274,SkottSpelare!AO289,SkottSpelare!AO304,SkottSpelare!AO319,SkottSpelare!AO334,SkottSpelare!AO349,SkottSpelare!AO364,SkottSpelare!AO379,SkottSpelare!AO394,SkottSpelare!AO409,SkottSpelare!AO424,SkottSpelare!AO439,SkottSpelare!AO454,SkottSpelare!AO469)</f>
        <v>0</v>
      </c>
      <c r="P5" s="5"/>
      <c r="U5" s="4" t="s">
        <v>1</v>
      </c>
      <c r="AB5" t="s">
        <v>1</v>
      </c>
      <c r="AH5" t="s">
        <v>1</v>
      </c>
      <c r="AJ5" s="5"/>
      <c r="AL5" s="33">
        <v>2</v>
      </c>
      <c r="AQ5" s="36" t="e">
        <f t="shared" si="0"/>
        <v>#DIV/0!</v>
      </c>
      <c r="AR5" s="36" t="e">
        <f t="shared" si="1"/>
        <v>#DIV/0!</v>
      </c>
      <c r="AS5" s="13"/>
    </row>
    <row r="6" spans="1:51" x14ac:dyDescent="0.2">
      <c r="A6" t="s">
        <v>2</v>
      </c>
      <c r="B6">
        <f>SUM(SkottSpelare!AG5,SkottSpelare!AG20,SkottSpelare!AG35,SkottSpelare!AG50,SkottSpelare!AG65,SkottSpelare!AG80,SkottSpelare!AG95,SkottSpelare!AG110,SkottSpelare!AG125,SkottSpelare!AG140,SkottSpelare!AG155,SkottSpelare!AG170,SkottSpelare!AG185,SkottSpelare!AG200,SkottSpelare!AG215,SkottSpelare!AG230,SkottSpelare!AG245,SkottSpelare!AG260,SkottSpelare!AG275,SkottSpelare!AG290,SkottSpelare!AG305,SkottSpelare!AG320,SkottSpelare!AG335,SkottSpelare!AG350,SkottSpelare!AG365,SkottSpelare!AG380,SkottSpelare!AG395,SkottSpelare!AG410,SkottSpelare!AG425,SkottSpelare!AG440,SkottSpelare!AG455,SkottSpelare!AG470)</f>
        <v>2</v>
      </c>
      <c r="H6" t="s">
        <v>2</v>
      </c>
      <c r="I6" s="72">
        <f>SUM(SkottSpelare!AK5,SkottSpelare!AK20,SkottSpelare!AK35,SkottSpelare!AK50,SkottSpelare!AK65,SkottSpelare!AK80,SkottSpelare!AK95,SkottSpelare!AK110,SkottSpelare!AK125,SkottSpelare!AK140,SkottSpelare!AK155,SkottSpelare!AK170,SkottSpelare!AK185,SkottSpelare!AK200,SkottSpelare!AK215,SkottSpelare!AK230,SkottSpelare!AK245,SkottSpelare!AK260,SkottSpelare!AK275,SkottSpelare!AK290,SkottSpelare!AK305,SkottSpelare!AK320,SkottSpelare!AK335,SkottSpelare!AK350,SkottSpelare!AK365,SkottSpelare!AK380,SkottSpelare!AK395,SkottSpelare!AK410,SkottSpelare!AK425,SkottSpelare!AK440,SkottSpelare!AK455,SkottSpelare!AK470)</f>
        <v>2</v>
      </c>
      <c r="N6" t="s">
        <v>2</v>
      </c>
      <c r="O6">
        <f>SUM(SkottSpelare!AO5,SkottSpelare!AO20,SkottSpelare!AO35,SkottSpelare!AO50,SkottSpelare!AO65,SkottSpelare!AO80,SkottSpelare!AO95,SkottSpelare!AO110,SkottSpelare!AO125,SkottSpelare!AO140,SkottSpelare!AO155,SkottSpelare!AO170,SkottSpelare!AO185,SkottSpelare!AO200,SkottSpelare!AO215,SkottSpelare!AO230,SkottSpelare!AO245,SkottSpelare!AO260,SkottSpelare!AO275,SkottSpelare!AO290,SkottSpelare!AO305,SkottSpelare!AO320,SkottSpelare!AO335,SkottSpelare!AO350,SkottSpelare!AO365,SkottSpelare!AO380,SkottSpelare!AO395,SkottSpelare!AO410,SkottSpelare!AO425,SkottSpelare!AO440,SkottSpelare!AO455,SkottSpelare!AO470)</f>
        <v>1</v>
      </c>
      <c r="P6" s="5"/>
      <c r="U6" s="4" t="s">
        <v>2</v>
      </c>
      <c r="AB6" t="s">
        <v>2</v>
      </c>
      <c r="AH6" t="s">
        <v>2</v>
      </c>
      <c r="AI6">
        <v>1</v>
      </c>
      <c r="AJ6" s="5"/>
      <c r="AL6" s="33">
        <v>12</v>
      </c>
      <c r="AM6" s="34"/>
      <c r="AN6" s="34"/>
      <c r="AO6" s="34"/>
      <c r="AP6" s="34"/>
      <c r="AQ6" s="36" t="e">
        <f t="shared" si="0"/>
        <v>#DIV/0!</v>
      </c>
      <c r="AR6" s="36" t="e">
        <f t="shared" si="1"/>
        <v>#DIV/0!</v>
      </c>
      <c r="AS6" s="13"/>
      <c r="AT6">
        <v>5</v>
      </c>
      <c r="AV6">
        <v>1</v>
      </c>
      <c r="AW6">
        <v>4</v>
      </c>
      <c r="AY6">
        <v>4</v>
      </c>
    </row>
    <row r="7" spans="1:51" x14ac:dyDescent="0.2">
      <c r="A7" s="17" t="s">
        <v>3</v>
      </c>
      <c r="B7">
        <f>SUM(SkottSpelare!AG6,SkottSpelare!AG21,SkottSpelare!AG36,SkottSpelare!AG51,SkottSpelare!AG66,SkottSpelare!AG81,SkottSpelare!AG96,SkottSpelare!AG111,SkottSpelare!AG126,SkottSpelare!AG141,SkottSpelare!AG156,SkottSpelare!AG171,SkottSpelare!AG186,SkottSpelare!AG201,SkottSpelare!AG216,SkottSpelare!AG231,SkottSpelare!AG246,SkottSpelare!AG261,SkottSpelare!AG276,SkottSpelare!AG291,SkottSpelare!AG306,SkottSpelare!AG321,SkottSpelare!AG336,SkottSpelare!AG351,SkottSpelare!AG366,SkottSpelare!AG381,SkottSpelare!AG396,SkottSpelare!AG411,SkottSpelare!AG426,SkottSpelare!AG441,SkottSpelare!AG456,SkottSpelare!AG471)</f>
        <v>0</v>
      </c>
      <c r="H7" s="17" t="s">
        <v>3</v>
      </c>
      <c r="I7" s="72">
        <f>SUM(SkottSpelare!AK6,SkottSpelare!AK21,SkottSpelare!AK36,SkottSpelare!AK51,SkottSpelare!AK66,SkottSpelare!AK81,SkottSpelare!AK96,SkottSpelare!AK111,SkottSpelare!AK126,SkottSpelare!AK141,SkottSpelare!AK156,SkottSpelare!AK171,SkottSpelare!AK186,SkottSpelare!AK201,SkottSpelare!AK216,SkottSpelare!AK231,SkottSpelare!AK246,SkottSpelare!AK261,SkottSpelare!AK276,SkottSpelare!AK291,SkottSpelare!AK306,SkottSpelare!AK321,SkottSpelare!AK336,SkottSpelare!AK351,SkottSpelare!AK366,SkottSpelare!AK381,SkottSpelare!AK396,SkottSpelare!AK411,SkottSpelare!AK426,SkottSpelare!AK441,SkottSpelare!AK456,SkottSpelare!AK471)</f>
        <v>0</v>
      </c>
      <c r="N7" s="17" t="s">
        <v>3</v>
      </c>
      <c r="O7">
        <f>SUM(SkottSpelare!AO6,SkottSpelare!AO21,SkottSpelare!AO36,SkottSpelare!AO51,SkottSpelare!AO66,SkottSpelare!AO81,SkottSpelare!AO96,SkottSpelare!AO111,SkottSpelare!AO126,SkottSpelare!AO141,SkottSpelare!AO156,SkottSpelare!AO171,SkottSpelare!AO186,SkottSpelare!AO201,SkottSpelare!AO216,SkottSpelare!AO231,SkottSpelare!AO246,SkottSpelare!AO261,SkottSpelare!AO276,SkottSpelare!AO291,SkottSpelare!AO306,SkottSpelare!AO321,SkottSpelare!AO336,SkottSpelare!AO351,SkottSpelare!AO366,SkottSpelare!AO381,SkottSpelare!AO396,SkottSpelare!AO411,SkottSpelare!AO426,SkottSpelare!AO441,SkottSpelare!AO456,SkottSpelare!AO471)</f>
        <v>0</v>
      </c>
      <c r="P7" s="5"/>
      <c r="U7" s="26" t="s">
        <v>3</v>
      </c>
      <c r="AB7" s="17" t="s">
        <v>3</v>
      </c>
      <c r="AH7" s="17" t="s">
        <v>3</v>
      </c>
      <c r="AJ7" s="5"/>
      <c r="AL7" s="33">
        <v>10</v>
      </c>
      <c r="AM7" s="34"/>
      <c r="AN7" s="34"/>
      <c r="AO7" s="34"/>
      <c r="AP7" s="34"/>
      <c r="AQ7" s="36" t="e">
        <f t="shared" si="0"/>
        <v>#DIV/0!</v>
      </c>
      <c r="AR7" s="36" t="e">
        <f t="shared" si="1"/>
        <v>#DIV/0!</v>
      </c>
      <c r="AS7" s="35"/>
      <c r="AT7" s="34"/>
    </row>
    <row r="8" spans="1:51" x14ac:dyDescent="0.2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3"/>
      <c r="U8" s="19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3"/>
      <c r="AL8" s="33">
        <v>17</v>
      </c>
      <c r="AM8" s="34"/>
      <c r="AN8" s="34"/>
      <c r="AO8" s="34"/>
      <c r="AP8" s="34"/>
      <c r="AQ8" s="36" t="e">
        <f t="shared" si="0"/>
        <v>#DIV/0!</v>
      </c>
      <c r="AR8" s="36" t="e">
        <f t="shared" si="1"/>
        <v>#DIV/0!</v>
      </c>
      <c r="AS8" s="13"/>
      <c r="AW8">
        <v>1</v>
      </c>
    </row>
    <row r="9" spans="1:51" x14ac:dyDescent="0.2">
      <c r="A9" t="s">
        <v>0</v>
      </c>
      <c r="B9">
        <f>SUM(SkottSpelare!AG7,SkottSpelare!AG22,SkottSpelare!AG37,SkottSpelare!AG52,SkottSpelare!AG67,SkottSpelare!AG82,SkottSpelare!AG97,SkottSpelare!AG112,SkottSpelare!AG127,SkottSpelare!AG142,SkottSpelare!AG157,SkottSpelare!AG172,SkottSpelare!AG187,SkottSpelare!AG202,SkottSpelare!AG217,SkottSpelare!AG232,SkottSpelare!AG247,SkottSpelare!AG262,SkottSpelare!AG277,SkottSpelare!AG292,SkottSpelare!AG307,SkottSpelare!AG322,SkottSpelare!AG337,SkottSpelare!AG352,SkottSpelare!AG367,SkottSpelare!AG382,SkottSpelare!AG397,SkottSpelare!AG412,SkottSpelare!AG427,SkottSpelare!AG442,SkottSpelare!AG457,SkottSpelare!AG472)</f>
        <v>1</v>
      </c>
      <c r="F9" t="s">
        <v>0</v>
      </c>
      <c r="G9">
        <f>SUM(SkottSpelare!AK7,SkottSpelare!AK22,SkottSpelare!AK37,SkottSpelare!AK52,SkottSpelare!AK67,SkottSpelare!AK82,SkottSpelare!AK97,SkottSpelare!AK112,SkottSpelare!AK127,SkottSpelare!AK142,SkottSpelare!AK157,SkottSpelare!AK172,SkottSpelare!AK187,SkottSpelare!AK202,SkottSpelare!AK217,SkottSpelare!AK232,SkottSpelare!AK247,SkottSpelare!AK262,SkottSpelare!AK277,SkottSpelare!AK292,SkottSpelare!AK307,SkottSpelare!AK322,SkottSpelare!AK337,SkottSpelare!AK352,SkottSpelare!AK367,SkottSpelare!AK382,SkottSpelare!AK397,SkottSpelare!AK412,SkottSpelare!AK427,SkottSpelare!AK442,SkottSpelare!AK472,SkottSpelare!AK457)</f>
        <v>1</v>
      </c>
      <c r="N9" t="s">
        <v>0</v>
      </c>
      <c r="O9">
        <f>SUM(SkottSpelare!AO7,SkottSpelare!AO22,SkottSpelare!AO37,SkottSpelare!AO52,SkottSpelare!AO67,SkottSpelare!AO82,SkottSpelare!AO97,SkottSpelare!AO112,SkottSpelare!AO127,SkottSpelare!AO142,SkottSpelare!AO157,SkottSpelare!AO172,SkottSpelare!AO187,SkottSpelare!AO202,SkottSpelare!AO217,SkottSpelare!AO232,SkottSpelare!AO247,SkottSpelare!AO262,SkottSpelare!AO277,SkottSpelare!AO292,SkottSpelare!AO307,SkottSpelare!AO322,SkottSpelare!AO337,SkottSpelare!AO352,SkottSpelare!AO367,SkottSpelare!AO382,SkottSpelare!AO397,SkottSpelare!AO412,SkottSpelare!AO427,SkottSpelare!AO442,SkottSpelare!AO457,SkottSpelare!AO472)</f>
        <v>3</v>
      </c>
      <c r="P9" s="5"/>
      <c r="U9" s="4" t="s">
        <v>0</v>
      </c>
      <c r="Z9" t="s">
        <v>0</v>
      </c>
      <c r="AA9">
        <v>1</v>
      </c>
      <c r="AH9" t="s">
        <v>0</v>
      </c>
      <c r="AJ9" s="5"/>
      <c r="AL9" s="33">
        <v>19</v>
      </c>
      <c r="AM9" s="34"/>
      <c r="AN9" s="34"/>
      <c r="AO9" s="34"/>
      <c r="AP9" s="34"/>
      <c r="AQ9" s="36" t="e">
        <f t="shared" si="0"/>
        <v>#DIV/0!</v>
      </c>
      <c r="AR9" s="36" t="e">
        <f t="shared" si="1"/>
        <v>#DIV/0!</v>
      </c>
      <c r="AS9" s="13"/>
    </row>
    <row r="10" spans="1:51" x14ac:dyDescent="0.2">
      <c r="A10" t="s">
        <v>1</v>
      </c>
      <c r="B10">
        <f>SUM(SkottSpelare!AG8,SkottSpelare!AG23,SkottSpelare!AG38,SkottSpelare!AG53,SkottSpelare!AG68,SkottSpelare!AG83,SkottSpelare!AG98,SkottSpelare!AG113,SkottSpelare!AG128,SkottSpelare!AG143,SkottSpelare!AG158,SkottSpelare!AG173,SkottSpelare!AG188,SkottSpelare!AG203,SkottSpelare!AG218,SkottSpelare!AG233,SkottSpelare!AG248,SkottSpelare!AG263,SkottSpelare!AG278,SkottSpelare!AG293,SkottSpelare!AG308,SkottSpelare!AG323,SkottSpelare!AG338,SkottSpelare!AG353,SkottSpelare!AG368,SkottSpelare!AG383,SkottSpelare!AG398,SkottSpelare!AG413,SkottSpelare!AG428,SkottSpelare!AG443,SkottSpelare!AG458,SkottSpelare!AG473)</f>
        <v>0</v>
      </c>
      <c r="F10" t="s">
        <v>1</v>
      </c>
      <c r="G10">
        <f>SUM(SkottSpelare!AK8,SkottSpelare!AK23,SkottSpelare!AK38,SkottSpelare!AK53,SkottSpelare!AK68,SkottSpelare!AK83,SkottSpelare!AK98,SkottSpelare!AK113,SkottSpelare!AK128,SkottSpelare!AK143,SkottSpelare!AK158,SkottSpelare!AK173,SkottSpelare!AK188,SkottSpelare!AK203,SkottSpelare!AK218,SkottSpelare!AK233,SkottSpelare!AK248,SkottSpelare!AK263,SkottSpelare!AK278,SkottSpelare!AK293,SkottSpelare!AK308,SkottSpelare!AK323,SkottSpelare!AK338,SkottSpelare!AK353,SkottSpelare!AK368,SkottSpelare!AK383,SkottSpelare!AK398,SkottSpelare!AK413,SkottSpelare!AK428,SkottSpelare!AK443,SkottSpelare!AK473,SkottSpelare!AK458)</f>
        <v>3</v>
      </c>
      <c r="N10" t="s">
        <v>1</v>
      </c>
      <c r="O10">
        <f>SUM(SkottSpelare!AO8,SkottSpelare!AO23,SkottSpelare!AO38,SkottSpelare!AO53,SkottSpelare!AO68,SkottSpelare!AO83,SkottSpelare!AO98,SkottSpelare!AO113,SkottSpelare!AO128,SkottSpelare!AO143,SkottSpelare!AO158,SkottSpelare!AO173,SkottSpelare!AO188,SkottSpelare!AO203,SkottSpelare!AO218,SkottSpelare!AO233,SkottSpelare!AO248,SkottSpelare!AO263,SkottSpelare!AO278,SkottSpelare!AO293,SkottSpelare!AO308,SkottSpelare!AO323,SkottSpelare!AO338,SkottSpelare!AO353,SkottSpelare!AO368,SkottSpelare!AO383,SkottSpelare!AO398,SkottSpelare!AO413,SkottSpelare!AO428,SkottSpelare!AO443,SkottSpelare!AO458,SkottSpelare!AO473)</f>
        <v>2</v>
      </c>
      <c r="P10" s="5"/>
      <c r="U10" s="4" t="s">
        <v>1</v>
      </c>
      <c r="V10">
        <v>1</v>
      </c>
      <c r="Z10" t="s">
        <v>1</v>
      </c>
      <c r="AA10">
        <v>1</v>
      </c>
      <c r="AH10" t="s">
        <v>1</v>
      </c>
      <c r="AI10">
        <v>1</v>
      </c>
      <c r="AJ10" s="5"/>
      <c r="AL10" s="33">
        <v>22</v>
      </c>
      <c r="AS10" s="13">
        <v>1</v>
      </c>
      <c r="AT10">
        <v>5</v>
      </c>
      <c r="AV10">
        <v>4</v>
      </c>
      <c r="AW10">
        <v>1</v>
      </c>
      <c r="AX10">
        <v>2</v>
      </c>
      <c r="AY10">
        <v>1</v>
      </c>
    </row>
    <row r="11" spans="1:51" x14ac:dyDescent="0.2">
      <c r="A11" t="s">
        <v>2</v>
      </c>
      <c r="B11">
        <f>SUM(SkottSpelare!AG9,SkottSpelare!AG24,SkottSpelare!AG39,SkottSpelare!AG54,SkottSpelare!AG69,SkottSpelare!AG84,SkottSpelare!AG99,SkottSpelare!AG114,SkottSpelare!AG129,SkottSpelare!AG144,SkottSpelare!AG159,SkottSpelare!AG174,SkottSpelare!AG189,SkottSpelare!AG204,SkottSpelare!AG219,SkottSpelare!AG234,SkottSpelare!AG249,SkottSpelare!AG264,SkottSpelare!AG279,SkottSpelare!AG294,SkottSpelare!AG309,SkottSpelare!AG324,SkottSpelare!AG339,SkottSpelare!AG354,SkottSpelare!AG369,SkottSpelare!AG384,SkottSpelare!AG399,SkottSpelare!AG414,SkottSpelare!AG429,SkottSpelare!AG444,SkottSpelare!AG459,SkottSpelare!AG474)</f>
        <v>0</v>
      </c>
      <c r="F11" t="s">
        <v>2</v>
      </c>
      <c r="G11">
        <f>SUM(SkottSpelare!AK9,SkottSpelare!AK24,SkottSpelare!AK39,SkottSpelare!AK54,SkottSpelare!AK69,SkottSpelare!AK84,SkottSpelare!AK99,SkottSpelare!AK114,SkottSpelare!AK129,SkottSpelare!AK144,SkottSpelare!AK159,SkottSpelare!AK174,SkottSpelare!AK189,SkottSpelare!AK204,SkottSpelare!AK219,SkottSpelare!AK234,SkottSpelare!AK249,SkottSpelare!AK264,SkottSpelare!AK279,SkottSpelare!AK294,SkottSpelare!AK309,SkottSpelare!AK324,SkottSpelare!AK339,SkottSpelare!AK354,SkottSpelare!AK369,SkottSpelare!AK384,SkottSpelare!AK399,SkottSpelare!AK414,SkottSpelare!AK429,SkottSpelare!AK444,SkottSpelare!AK474,SkottSpelare!AK459)</f>
        <v>1</v>
      </c>
      <c r="N11" t="s">
        <v>2</v>
      </c>
      <c r="O11">
        <f>SUM(SkottSpelare!AO9,SkottSpelare!AO24,SkottSpelare!AO39,SkottSpelare!AO54,SkottSpelare!AO69,SkottSpelare!AO84,SkottSpelare!AO99,SkottSpelare!AO114,SkottSpelare!AO129,SkottSpelare!AO144,SkottSpelare!AO159,SkottSpelare!AO174,SkottSpelare!AO189,SkottSpelare!AO204,SkottSpelare!AO219,SkottSpelare!AO234,SkottSpelare!AO249,SkottSpelare!AO264,SkottSpelare!AO279,SkottSpelare!AO294,SkottSpelare!AO309,SkottSpelare!AO324,SkottSpelare!AO339,SkottSpelare!AO354,SkottSpelare!AO369,SkottSpelare!AO384,SkottSpelare!AO399,SkottSpelare!AO414,SkottSpelare!AO429,SkottSpelare!AO444,SkottSpelare!AO459,SkottSpelare!AO474)</f>
        <v>3</v>
      </c>
      <c r="P11" s="5"/>
      <c r="U11" s="4" t="s">
        <v>2</v>
      </c>
      <c r="V11">
        <v>1</v>
      </c>
      <c r="Z11" t="s">
        <v>2</v>
      </c>
      <c r="AA11">
        <v>1</v>
      </c>
      <c r="AH11" t="s">
        <v>2</v>
      </c>
      <c r="AI11">
        <v>1</v>
      </c>
      <c r="AJ11" s="5"/>
      <c r="AL11" s="33">
        <v>23</v>
      </c>
      <c r="AM11" s="34"/>
      <c r="AN11" s="34"/>
      <c r="AO11" s="34"/>
      <c r="AP11" s="34"/>
      <c r="AQ11" s="36" t="e">
        <f t="shared" ref="AQ11:AQ20" si="2">SUM(AM11/(AM11+AN11+AO11))</f>
        <v>#DIV/0!</v>
      </c>
      <c r="AR11" s="36" t="e">
        <f t="shared" ref="AR11:AR20" si="3">SUM(AP11/(AO11+AN11+AM11))</f>
        <v>#DIV/0!</v>
      </c>
      <c r="AS11" s="13"/>
      <c r="AT11">
        <v>2</v>
      </c>
      <c r="AV11">
        <v>1</v>
      </c>
      <c r="AW11">
        <v>2</v>
      </c>
      <c r="AY11">
        <v>3</v>
      </c>
    </row>
    <row r="12" spans="1:51" x14ac:dyDescent="0.2">
      <c r="A12" s="17" t="s">
        <v>3</v>
      </c>
      <c r="B12">
        <f>SUM(SkottSpelare!AG10,SkottSpelare!AG25,SkottSpelare!AG40,SkottSpelare!AG55,SkottSpelare!AG70,SkottSpelare!AG85,SkottSpelare!AG100,SkottSpelare!AG115,SkottSpelare!AG130,SkottSpelare!AG145,SkottSpelare!AG160,SkottSpelare!AG175,SkottSpelare!AG190,SkottSpelare!AG205,SkottSpelare!AG220,SkottSpelare!AG235,SkottSpelare!AG250,SkottSpelare!AG265,SkottSpelare!AG280,SkottSpelare!AG295,SkottSpelare!AG310,SkottSpelare!AG325,SkottSpelare!AG340,SkottSpelare!AG355,SkottSpelare!AG370,SkottSpelare!AG385,SkottSpelare!AG400,SkottSpelare!AG415,SkottSpelare!AG430,SkottSpelare!AG445,SkottSpelare!AG460,SkottSpelare!AG475)</f>
        <v>0</v>
      </c>
      <c r="F12" s="17" t="s">
        <v>3</v>
      </c>
      <c r="G12">
        <f>SUM(SkottSpelare!AK10,SkottSpelare!AK25,SkottSpelare!AK40,SkottSpelare!AK55,SkottSpelare!AK70,SkottSpelare!AK85,SkottSpelare!AK100,SkottSpelare!AK115,SkottSpelare!AK130,SkottSpelare!AK145,SkottSpelare!AK160,SkottSpelare!AK175,SkottSpelare!AK190,SkottSpelare!AK205,SkottSpelare!AK220,SkottSpelare!AK235,SkottSpelare!AK250,SkottSpelare!AK265,SkottSpelare!AK280,SkottSpelare!AK295,SkottSpelare!AK310,SkottSpelare!AK325,SkottSpelare!AK340,SkottSpelare!AK355,SkottSpelare!AK370,SkottSpelare!AK385,SkottSpelare!AK400,SkottSpelare!AK415,SkottSpelare!AK430,SkottSpelare!AK445,SkottSpelare!AK475,SkottSpelare!AK460)</f>
        <v>1</v>
      </c>
      <c r="N12" s="17" t="s">
        <v>3</v>
      </c>
      <c r="O12">
        <f>SUM(SkottSpelare!AO10,SkottSpelare!AO25,SkottSpelare!AO40,SkottSpelare!AO55,SkottSpelare!AO70,SkottSpelare!AO85,SkottSpelare!AO100,SkottSpelare!AO115,SkottSpelare!AO130,SkottSpelare!AO145,SkottSpelare!AO160,SkottSpelare!AO175,SkottSpelare!AO190,SkottSpelare!AO205,SkottSpelare!AO220,SkottSpelare!AO235,SkottSpelare!AO250,SkottSpelare!AO265,SkottSpelare!AO280,SkottSpelare!AO295,SkottSpelare!AO310,SkottSpelare!AO325,SkottSpelare!AO340,SkottSpelare!AO355,SkottSpelare!AO370,SkottSpelare!AO385,SkottSpelare!AO400,SkottSpelare!AO415,SkottSpelare!AO430,SkottSpelare!AO445,SkottSpelare!AO460,SkottSpelare!AO475)</f>
        <v>2</v>
      </c>
      <c r="P12" s="5"/>
      <c r="U12" s="26" t="s">
        <v>3</v>
      </c>
      <c r="Z12" s="17" t="s">
        <v>3</v>
      </c>
      <c r="AA12">
        <v>1</v>
      </c>
      <c r="AH12" s="17" t="s">
        <v>3</v>
      </c>
      <c r="AJ12" s="5"/>
      <c r="AL12" s="33">
        <v>24</v>
      </c>
      <c r="AQ12" s="36" t="e">
        <f t="shared" si="2"/>
        <v>#DIV/0!</v>
      </c>
      <c r="AR12" s="36" t="e">
        <f t="shared" si="3"/>
        <v>#DIV/0!</v>
      </c>
      <c r="AS12" s="13"/>
    </row>
    <row r="13" spans="1:51" x14ac:dyDescent="0.2">
      <c r="B13" s="20"/>
      <c r="C13" s="10"/>
      <c r="D13" s="20"/>
      <c r="E13" s="20"/>
      <c r="F13" s="20"/>
      <c r="G13" s="20"/>
      <c r="H13" s="10"/>
      <c r="I13" s="20"/>
      <c r="J13" s="20"/>
      <c r="K13" s="20"/>
      <c r="L13" s="20"/>
      <c r="M13" s="10"/>
      <c r="N13" s="20"/>
      <c r="O13" s="20"/>
      <c r="P13" s="23"/>
      <c r="U13" s="4"/>
      <c r="V13" s="20"/>
      <c r="W13" s="10"/>
      <c r="X13" s="20"/>
      <c r="Y13" s="20"/>
      <c r="Z13" s="20"/>
      <c r="AA13" s="20"/>
      <c r="AB13" s="10"/>
      <c r="AC13" s="20"/>
      <c r="AD13" s="20"/>
      <c r="AE13" s="20"/>
      <c r="AF13" s="20"/>
      <c r="AG13" s="10"/>
      <c r="AH13" s="20"/>
      <c r="AI13" s="20"/>
      <c r="AJ13" s="23"/>
      <c r="AL13" s="33">
        <v>25</v>
      </c>
      <c r="AM13" s="34"/>
      <c r="AN13" s="34"/>
      <c r="AO13" s="34"/>
      <c r="AP13" s="34"/>
      <c r="AQ13" s="36" t="e">
        <f t="shared" si="2"/>
        <v>#DIV/0!</v>
      </c>
      <c r="AR13" s="36" t="e">
        <f t="shared" si="3"/>
        <v>#DIV/0!</v>
      </c>
      <c r="AS13" s="13"/>
    </row>
    <row r="14" spans="1:51" x14ac:dyDescent="0.2">
      <c r="A14" t="s">
        <v>0</v>
      </c>
      <c r="B14">
        <f>SUM(SkottSpelare!AG11,SkottSpelare!AG26,SkottSpelare!AG41,SkottSpelare!AG56,SkottSpelare!AG71,SkottSpelare!AG86,SkottSpelare!AG101,SkottSpelare!AG116,SkottSpelare!AG131,SkottSpelare!AG146,SkottSpelare!AG161,SkottSpelare!AG176,SkottSpelare!AG191,SkottSpelare!AG206,SkottSpelare!AG221,SkottSpelare!AG236,SkottSpelare!AG251,SkottSpelare!AG266,SkottSpelare!AG281,SkottSpelare!AG296,SkottSpelare!AG311,SkottSpelare!AG326,SkottSpelare!AG341,SkottSpelare!AG356,SkottSpelare!AG371,SkottSpelare!AG386,SkottSpelare!AG401,SkottSpelare!AG416,SkottSpelare!AG431,SkottSpelare!AG446,SkottSpelare!AG461,SkottSpelare!AG476)</f>
        <v>0</v>
      </c>
      <c r="C14" s="14"/>
      <c r="E14" t="s">
        <v>0</v>
      </c>
      <c r="F14">
        <f>SUM(SkottSpelare!AI11,SkottSpelare!AI26,SkottSpelare!AI41,SkottSpelare!AI56,SkottSpelare!AI71,SkottSpelare!AI86,SkottSpelare!AI101,SkottSpelare!AI116,SkottSpelare!AI131,SkottSpelare!AI146,SkottSpelare!AI161,SkottSpelare!AI176,SkottSpelare!AI191,SkottSpelare!AI206,SkottSpelare!AI221,SkottSpelare!AI236,SkottSpelare!AI251,SkottSpelare!AI266,SkottSpelare!AI281,SkottSpelare!AI296,SkottSpelare!AI311,SkottSpelare!AI326,SkottSpelare!AI341,SkottSpelare!AI356,SkottSpelare!AI371,SkottSpelare!AI386,SkottSpelare!AI401,SkottSpelare!AI416,SkottSpelare!AI431,SkottSpelare!AI446,SkottSpelare!AI461,SkottSpelare!AI476)</f>
        <v>0</v>
      </c>
      <c r="H14" s="14"/>
      <c r="J14" t="s">
        <v>0</v>
      </c>
      <c r="K14">
        <f>SUM(SkottSpelare!AL11,SkottSpelare!AL26,SkottSpelare!AL41,SkottSpelare!AL56,SkottSpelare!AL71,SkottSpelare!AL86,SkottSpelare!AL101,SkottSpelare!AL116,SkottSpelare!AL131,SkottSpelare!AL146,SkottSpelare!AL161,SkottSpelare!AL176,SkottSpelare!AL191,SkottSpelare!AL206,SkottSpelare!AL221,SkottSpelare!AL236,SkottSpelare!AL251,SkottSpelare!AL266,SkottSpelare!AL281,SkottSpelare!AL296,SkottSpelare!AL311,SkottSpelare!AL326,SkottSpelare!AL341,SkottSpelare!AL356,SkottSpelare!AL371,SkottSpelare!AL386,SkottSpelare!AL401,SkottSpelare!AL416,SkottSpelare!AL431,SkottSpelare!AL446,SkottSpelare!AL461,SkottSpelare!AL476)</f>
        <v>0</v>
      </c>
      <c r="N14" s="13" t="s">
        <v>0</v>
      </c>
      <c r="O14">
        <f>SUM(SkottSpelare!AO11,SkottSpelare!AO26,SkottSpelare!AO41,SkottSpelare!AO56,SkottSpelare!AO71,SkottSpelare!AO86,SkottSpelare!AO101,SkottSpelare!AO116,SkottSpelare!AO131,SkottSpelare!AO146,SkottSpelare!AO161,SkottSpelare!AO176,SkottSpelare!AO191,SkottSpelare!AO206,SkottSpelare!AO221,SkottSpelare!AO236,SkottSpelare!AO251,SkottSpelare!AO266,SkottSpelare!AO281,SkottSpelare!AO296,SkottSpelare!AO311,SkottSpelare!AO326,SkottSpelare!AO341,SkottSpelare!AO356,SkottSpelare!AO371,SkottSpelare!AO386,SkottSpelare!AO401,SkottSpelare!AO416,SkottSpelare!AO431,SkottSpelare!AO446,SkottSpelare!AO461,SkottSpelare!AO476)</f>
        <v>0</v>
      </c>
      <c r="P14" s="5"/>
      <c r="U14" s="4" t="s">
        <v>0</v>
      </c>
      <c r="W14" s="14"/>
      <c r="Y14" t="s">
        <v>0</v>
      </c>
      <c r="AB14" s="14"/>
      <c r="AD14" t="s">
        <v>0</v>
      </c>
      <c r="AH14" s="13" t="s">
        <v>0</v>
      </c>
      <c r="AJ14" s="5"/>
      <c r="AL14" s="33">
        <v>27</v>
      </c>
      <c r="AM14" s="34"/>
      <c r="AN14" s="34"/>
      <c r="AO14" s="34"/>
      <c r="AP14" s="34"/>
      <c r="AQ14" s="36" t="e">
        <f t="shared" si="2"/>
        <v>#DIV/0!</v>
      </c>
      <c r="AR14" s="36" t="e">
        <f t="shared" si="3"/>
        <v>#DIV/0!</v>
      </c>
      <c r="AS14" s="13"/>
      <c r="AT14">
        <v>7</v>
      </c>
      <c r="AV14">
        <v>5</v>
      </c>
      <c r="AW14">
        <v>4</v>
      </c>
      <c r="AY14">
        <v>4</v>
      </c>
    </row>
    <row r="15" spans="1:51" x14ac:dyDescent="0.2">
      <c r="A15" t="s">
        <v>1</v>
      </c>
      <c r="B15">
        <f>SUM(SkottSpelare!AG12,SkottSpelare!AG27,SkottSpelare!AG42,SkottSpelare!AG57,SkottSpelare!AG72,SkottSpelare!AG87,SkottSpelare!AG102,SkottSpelare!AG117,SkottSpelare!AG132,SkottSpelare!AG147,SkottSpelare!AG162,SkottSpelare!AG177,SkottSpelare!AG192,SkottSpelare!AG207,SkottSpelare!AG222,SkottSpelare!AG237,SkottSpelare!AG252,SkottSpelare!AG267,SkottSpelare!AG282,SkottSpelare!AG297,SkottSpelare!AG312,SkottSpelare!AG327,SkottSpelare!AG342,SkottSpelare!AG357,SkottSpelare!AG372,SkottSpelare!AG387,SkottSpelare!AG402,SkottSpelare!AG417,SkottSpelare!AG432,SkottSpelare!AG447,SkottSpelare!AG462,SkottSpelare!AG477)</f>
        <v>0</v>
      </c>
      <c r="C15" s="14"/>
      <c r="E15" t="s">
        <v>1</v>
      </c>
      <c r="F15">
        <f>SUM(SkottSpelare!AI12,SkottSpelare!AI27,SkottSpelare!AI42,SkottSpelare!AI57,SkottSpelare!AI72,SkottSpelare!AI87,SkottSpelare!AI102,SkottSpelare!AI117,SkottSpelare!AI132,SkottSpelare!AI147,SkottSpelare!AI162,SkottSpelare!AI177,SkottSpelare!AI192,SkottSpelare!AI207,SkottSpelare!AI222,SkottSpelare!AI237,SkottSpelare!AI252,SkottSpelare!AI267,SkottSpelare!AI282,SkottSpelare!AI297,SkottSpelare!AI312,SkottSpelare!AI327,SkottSpelare!AI342,SkottSpelare!AI357,SkottSpelare!AI372,SkottSpelare!AI387,SkottSpelare!AI402,SkottSpelare!AI417,SkottSpelare!AI432,SkottSpelare!AI447,SkottSpelare!AI462,SkottSpelare!AI477)</f>
        <v>0</v>
      </c>
      <c r="H15" s="14"/>
      <c r="J15" t="s">
        <v>1</v>
      </c>
      <c r="K15">
        <f>SUM(SkottSpelare!AL12,SkottSpelare!AL27,SkottSpelare!AL42,SkottSpelare!AL57,SkottSpelare!AL72,SkottSpelare!AL87,SkottSpelare!AL102,SkottSpelare!AL117,SkottSpelare!AL132,SkottSpelare!AL147,SkottSpelare!AL162,SkottSpelare!AL177,SkottSpelare!AL192,SkottSpelare!AL207,SkottSpelare!AL222,SkottSpelare!AL237,SkottSpelare!AL252,SkottSpelare!AL267,SkottSpelare!AL282,SkottSpelare!AL297,SkottSpelare!AL312,SkottSpelare!AL327,SkottSpelare!AL342,SkottSpelare!AL357,SkottSpelare!AL372,SkottSpelare!AL387,SkottSpelare!AL402,SkottSpelare!AL417,SkottSpelare!AL432,SkottSpelare!AL447,SkottSpelare!AL462,SkottSpelare!AL477)</f>
        <v>0</v>
      </c>
      <c r="N15" s="13" t="s">
        <v>1</v>
      </c>
      <c r="O15">
        <f>SUM(SkottSpelare!AO12,SkottSpelare!AO27,SkottSpelare!AO42,SkottSpelare!AO57,SkottSpelare!AO72,SkottSpelare!AO87,SkottSpelare!AO102,SkottSpelare!AO117,SkottSpelare!AO132,SkottSpelare!AO147,SkottSpelare!AO162,SkottSpelare!AO177,SkottSpelare!AO192,SkottSpelare!AO207,SkottSpelare!AO222,SkottSpelare!AO237,SkottSpelare!AO252,SkottSpelare!AO267,SkottSpelare!AO282,SkottSpelare!AO297,SkottSpelare!AO312,SkottSpelare!AO327,SkottSpelare!AO342,SkottSpelare!AO357,SkottSpelare!AO372,SkottSpelare!AO387,SkottSpelare!AO402,SkottSpelare!AO417,SkottSpelare!AO432,SkottSpelare!AO447,SkottSpelare!AO462,SkottSpelare!AO477)</f>
        <v>1</v>
      </c>
      <c r="P15" s="5"/>
      <c r="U15" s="4" t="s">
        <v>1</v>
      </c>
      <c r="W15" s="14"/>
      <c r="Y15" t="s">
        <v>1</v>
      </c>
      <c r="AB15" s="14"/>
      <c r="AD15" t="s">
        <v>1</v>
      </c>
      <c r="AE15">
        <v>1</v>
      </c>
      <c r="AH15" s="13" t="s">
        <v>1</v>
      </c>
      <c r="AJ15" s="5"/>
      <c r="AL15" s="33">
        <v>28</v>
      </c>
      <c r="AM15" s="34"/>
      <c r="AN15" s="34"/>
      <c r="AO15" s="34"/>
      <c r="AP15" s="34"/>
      <c r="AQ15" s="36" t="e">
        <f t="shared" si="2"/>
        <v>#DIV/0!</v>
      </c>
      <c r="AR15" s="36" t="e">
        <f t="shared" si="3"/>
        <v>#DIV/0!</v>
      </c>
      <c r="AS15" s="13"/>
      <c r="AV15">
        <v>3</v>
      </c>
      <c r="AW15">
        <v>3</v>
      </c>
    </row>
    <row r="16" spans="1:51" x14ac:dyDescent="0.2">
      <c r="A16" t="s">
        <v>2</v>
      </c>
      <c r="B16">
        <f>SUM(SkottSpelare!AG13,SkottSpelare!AG28,SkottSpelare!AG43,SkottSpelare!AG58,SkottSpelare!AG73,SkottSpelare!AG88,SkottSpelare!AG103,SkottSpelare!AG118,SkottSpelare!AG133,SkottSpelare!AG148,SkottSpelare!AG163,SkottSpelare!AG178,SkottSpelare!AG193,SkottSpelare!AG208,SkottSpelare!AG223,SkottSpelare!AG238,SkottSpelare!AG253,SkottSpelare!AG268,SkottSpelare!AG283,SkottSpelare!AG298,SkottSpelare!AG313,SkottSpelare!AG328,SkottSpelare!AG343,SkottSpelare!AG358,SkottSpelare!AG373,SkottSpelare!AG388,SkottSpelare!AG403,SkottSpelare!AG418,SkottSpelare!AG433,SkottSpelare!AG448,SkottSpelare!AG463,SkottSpelare!AG478)</f>
        <v>0</v>
      </c>
      <c r="C16" s="14"/>
      <c r="E16" t="s">
        <v>2</v>
      </c>
      <c r="F16">
        <f>SUM(SkottSpelare!AI13,SkottSpelare!AI28,SkottSpelare!AI43,SkottSpelare!AI58,SkottSpelare!AI73,SkottSpelare!AI88,SkottSpelare!AI103,SkottSpelare!AI118,SkottSpelare!AI133,SkottSpelare!AI148,SkottSpelare!AI163,SkottSpelare!AI178,SkottSpelare!AI193,SkottSpelare!AI208,SkottSpelare!AI223,SkottSpelare!AI238,SkottSpelare!AI253,SkottSpelare!AI268,SkottSpelare!AI283,SkottSpelare!AI298,SkottSpelare!AI313,SkottSpelare!AI328,SkottSpelare!AI343,SkottSpelare!AI358,SkottSpelare!AI373,SkottSpelare!AI388,SkottSpelare!AI403,SkottSpelare!AI418,SkottSpelare!AI433,SkottSpelare!AI448,SkottSpelare!AI463,SkottSpelare!AI478)</f>
        <v>0</v>
      </c>
      <c r="H16" s="14"/>
      <c r="J16" t="s">
        <v>2</v>
      </c>
      <c r="K16">
        <f>SUM(SkottSpelare!AL13,SkottSpelare!AL28,SkottSpelare!AL43,SkottSpelare!AL58,SkottSpelare!AL73,SkottSpelare!AL88,SkottSpelare!AL103,SkottSpelare!AL118,SkottSpelare!AL133,SkottSpelare!AL148,SkottSpelare!AL163,SkottSpelare!AL178,SkottSpelare!AL193,SkottSpelare!AL208,SkottSpelare!AL223,SkottSpelare!AL238,SkottSpelare!AL253,SkottSpelare!AL268,SkottSpelare!AL283,SkottSpelare!AL298,SkottSpelare!AL313,SkottSpelare!AL328,SkottSpelare!AL343,SkottSpelare!AL358,SkottSpelare!AL373,SkottSpelare!AL388,SkottSpelare!AL403,SkottSpelare!AL418,SkottSpelare!AL433,SkottSpelare!AL448,SkottSpelare!AL463,SkottSpelare!AL478)</f>
        <v>0</v>
      </c>
      <c r="N16" s="13" t="s">
        <v>2</v>
      </c>
      <c r="O16">
        <f>SUM(SkottSpelare!AO13,SkottSpelare!AO28,SkottSpelare!AO43,SkottSpelare!AO58,SkottSpelare!AO73,SkottSpelare!AO88,SkottSpelare!AO103,SkottSpelare!AO118,SkottSpelare!AO133,SkottSpelare!AO148,SkottSpelare!AO163,SkottSpelare!AO178,SkottSpelare!AO193,SkottSpelare!AO208,SkottSpelare!AO223,SkottSpelare!AO238,SkottSpelare!AO253,SkottSpelare!AO268,SkottSpelare!AO283,SkottSpelare!AO298,SkottSpelare!AO313,SkottSpelare!AO328,SkottSpelare!AO343,SkottSpelare!AO358,SkottSpelare!AO373,SkottSpelare!AO388,SkottSpelare!AO403,SkottSpelare!AO418,SkottSpelare!AO433,SkottSpelare!AO448,SkottSpelare!AO463,SkottSpelare!AO478)</f>
        <v>0</v>
      </c>
      <c r="P16" s="5"/>
      <c r="U16" s="4" t="s">
        <v>2</v>
      </c>
      <c r="W16" s="14"/>
      <c r="Y16" t="s">
        <v>2</v>
      </c>
      <c r="Z16">
        <v>1</v>
      </c>
      <c r="AB16" s="14"/>
      <c r="AD16" t="s">
        <v>2</v>
      </c>
      <c r="AE16">
        <v>1</v>
      </c>
      <c r="AH16" s="13" t="s">
        <v>2</v>
      </c>
      <c r="AJ16" s="5"/>
      <c r="AL16" s="33">
        <v>20</v>
      </c>
      <c r="AM16" s="34"/>
      <c r="AN16" s="34"/>
      <c r="AO16" s="34"/>
      <c r="AP16" s="34"/>
      <c r="AQ16" s="36" t="e">
        <f t="shared" si="2"/>
        <v>#DIV/0!</v>
      </c>
      <c r="AR16" s="36" t="e">
        <f t="shared" si="3"/>
        <v>#DIV/0!</v>
      </c>
      <c r="AS16" s="13">
        <v>1</v>
      </c>
      <c r="AT16">
        <v>2</v>
      </c>
      <c r="AV16">
        <v>4</v>
      </c>
      <c r="AW16">
        <v>1</v>
      </c>
      <c r="AX16">
        <v>1</v>
      </c>
    </row>
    <row r="17" spans="1:51" x14ac:dyDescent="0.2">
      <c r="A17" t="s">
        <v>3</v>
      </c>
      <c r="B17">
        <f>SUM(SkottSpelare!AG14,SkottSpelare!AG29,SkottSpelare!AG44,SkottSpelare!AG59,SkottSpelare!AG74,SkottSpelare!AG89,SkottSpelare!AG104,SkottSpelare!AG119,SkottSpelare!AG134,SkottSpelare!AG149,SkottSpelare!AG164,SkottSpelare!AG179,SkottSpelare!AG194,SkottSpelare!AG209,SkottSpelare!AG224,SkottSpelare!AG239,SkottSpelare!AG254,SkottSpelare!AG269,SkottSpelare!AG284,SkottSpelare!AG299,SkottSpelare!AG314,SkottSpelare!AG329,SkottSpelare!AG344,SkottSpelare!AG359,SkottSpelare!AG374,SkottSpelare!AG389,SkottSpelare!AG404,SkottSpelare!AG419,SkottSpelare!AG434,SkottSpelare!AG449,SkottSpelare!AG464,SkottSpelare!AG479)</f>
        <v>0</v>
      </c>
      <c r="C17" s="14"/>
      <c r="E17" t="s">
        <v>3</v>
      </c>
      <c r="F17">
        <f>SUM(SkottSpelare!AI14,SkottSpelare!AI29,SkottSpelare!AI44,SkottSpelare!AI59,SkottSpelare!AI74,SkottSpelare!AI89,SkottSpelare!AI104,SkottSpelare!AI119,SkottSpelare!AI134,SkottSpelare!AI149,SkottSpelare!AI164,SkottSpelare!AI179,SkottSpelare!AI194,SkottSpelare!AI209,SkottSpelare!AI224,SkottSpelare!AI239,SkottSpelare!AI254,SkottSpelare!AI269,SkottSpelare!AI284,SkottSpelare!AI299,SkottSpelare!AI314,SkottSpelare!AI329,SkottSpelare!AI344,SkottSpelare!AI359,SkottSpelare!AI374,SkottSpelare!AI389,SkottSpelare!AI404,SkottSpelare!AI419,SkottSpelare!AI434,SkottSpelare!AI449,SkottSpelare!AI464,SkottSpelare!AI479)</f>
        <v>0</v>
      </c>
      <c r="H17" s="14"/>
      <c r="J17" t="s">
        <v>3</v>
      </c>
      <c r="K17">
        <f>SUM(SkottSpelare!AL14,SkottSpelare!AL29,SkottSpelare!AL44,SkottSpelare!AL59,SkottSpelare!AL74,SkottSpelare!AL89,SkottSpelare!AL104,SkottSpelare!AL119,SkottSpelare!AL134,SkottSpelare!AL149,SkottSpelare!AL164,SkottSpelare!AL179,SkottSpelare!AL194,SkottSpelare!AL209,SkottSpelare!AL224,SkottSpelare!AL239,SkottSpelare!AL254,SkottSpelare!AL269,SkottSpelare!AL284,SkottSpelare!AL299,SkottSpelare!AL314,SkottSpelare!AL329,SkottSpelare!AL344,SkottSpelare!AL359,SkottSpelare!AL374,SkottSpelare!AL389,SkottSpelare!AL404,SkottSpelare!AL419,SkottSpelare!AL434,SkottSpelare!AL449,SkottSpelare!AL464,SkottSpelare!AL479)</f>
        <v>0</v>
      </c>
      <c r="N17" s="13" t="s">
        <v>3</v>
      </c>
      <c r="O17">
        <f>SUM(SkottSpelare!AO14,SkottSpelare!AO29,SkottSpelare!AO44,SkottSpelare!AO59,SkottSpelare!AO74,SkottSpelare!AO89,SkottSpelare!AO104,SkottSpelare!AO119,SkottSpelare!AO134,SkottSpelare!AO149,SkottSpelare!AO164,SkottSpelare!AO179,SkottSpelare!AO194,SkottSpelare!AO209,SkottSpelare!AO224,SkottSpelare!AO239,SkottSpelare!AO254,SkottSpelare!AO269,SkottSpelare!AO284,SkottSpelare!AO299,SkottSpelare!AO314,SkottSpelare!AO329,SkottSpelare!AO344,SkottSpelare!AO359,SkottSpelare!AO374,SkottSpelare!AO389,SkottSpelare!AO404,SkottSpelare!AO419,SkottSpelare!AO434,SkottSpelare!AO449,SkottSpelare!AO464,SkottSpelare!AO479)</f>
        <v>0</v>
      </c>
      <c r="P17" s="5"/>
      <c r="U17" s="4" t="s">
        <v>3</v>
      </c>
      <c r="W17" s="14"/>
      <c r="Y17" t="s">
        <v>3</v>
      </c>
      <c r="AB17" s="14"/>
      <c r="AD17" t="s">
        <v>3</v>
      </c>
      <c r="AH17" s="13" t="s">
        <v>3</v>
      </c>
      <c r="AJ17" s="5"/>
      <c r="AL17" s="33">
        <v>21</v>
      </c>
      <c r="AM17" s="34"/>
      <c r="AN17" s="34"/>
      <c r="AO17" s="34"/>
      <c r="AP17" s="34"/>
      <c r="AQ17" s="36" t="e">
        <f t="shared" si="2"/>
        <v>#DIV/0!</v>
      </c>
      <c r="AR17" s="36" t="e">
        <f t="shared" si="3"/>
        <v>#DIV/0!</v>
      </c>
      <c r="AS17" s="13"/>
      <c r="AT17">
        <v>2</v>
      </c>
      <c r="AU17">
        <v>1</v>
      </c>
      <c r="AV17">
        <v>1</v>
      </c>
      <c r="AW17">
        <v>3</v>
      </c>
      <c r="AY17">
        <v>2</v>
      </c>
    </row>
    <row r="18" spans="1:51" x14ac:dyDescent="0.2">
      <c r="A18" s="4"/>
      <c r="C18" s="14"/>
      <c r="H18" s="14"/>
      <c r="N18" s="13"/>
      <c r="P18" s="5"/>
      <c r="U18" s="4"/>
      <c r="W18" s="14"/>
      <c r="AB18" s="14"/>
      <c r="AH18" s="13"/>
      <c r="AJ18" s="5"/>
      <c r="AL18" s="33">
        <v>39</v>
      </c>
      <c r="AM18" s="34"/>
      <c r="AN18" s="34"/>
      <c r="AO18" s="34"/>
      <c r="AP18" s="34"/>
      <c r="AQ18" s="36" t="e">
        <f t="shared" si="2"/>
        <v>#DIV/0!</v>
      </c>
      <c r="AR18" s="36" t="e">
        <f t="shared" si="3"/>
        <v>#DIV/0!</v>
      </c>
      <c r="AS18" s="13"/>
      <c r="AV18">
        <v>1</v>
      </c>
      <c r="AW18">
        <v>1</v>
      </c>
      <c r="AY18">
        <v>2</v>
      </c>
    </row>
    <row r="19" spans="1:51" ht="17" thickBot="1" x14ac:dyDescent="0.25">
      <c r="A19" s="6"/>
      <c r="B19" s="7"/>
      <c r="C19" s="24"/>
      <c r="D19" s="7"/>
      <c r="E19" s="7"/>
      <c r="F19" s="7"/>
      <c r="G19" s="7"/>
      <c r="H19" s="24"/>
      <c r="I19" s="7"/>
      <c r="J19" s="7"/>
      <c r="K19" s="7"/>
      <c r="L19" s="7"/>
      <c r="M19" s="7"/>
      <c r="N19" s="25"/>
      <c r="O19" s="7"/>
      <c r="P19" s="8"/>
      <c r="U19" s="6"/>
      <c r="V19" s="7"/>
      <c r="W19" s="24"/>
      <c r="X19" s="7"/>
      <c r="Y19" s="7"/>
      <c r="Z19" s="7"/>
      <c r="AA19" s="7"/>
      <c r="AB19" s="24"/>
      <c r="AC19" s="7"/>
      <c r="AD19" s="7"/>
      <c r="AE19" s="7"/>
      <c r="AF19" s="7"/>
      <c r="AG19" s="7"/>
      <c r="AH19" s="25"/>
      <c r="AI19" s="7"/>
      <c r="AJ19" s="8"/>
      <c r="AL19" s="33">
        <v>40</v>
      </c>
      <c r="AM19" s="34"/>
      <c r="AN19" s="34"/>
      <c r="AO19" s="34"/>
      <c r="AP19" s="34"/>
      <c r="AQ19" s="36" t="e">
        <f t="shared" si="2"/>
        <v>#DIV/0!</v>
      </c>
      <c r="AR19" s="36" t="e">
        <f t="shared" si="3"/>
        <v>#DIV/0!</v>
      </c>
      <c r="AS19" s="13"/>
      <c r="AT19">
        <v>3</v>
      </c>
      <c r="AV19">
        <v>4</v>
      </c>
      <c r="AX19">
        <v>1</v>
      </c>
      <c r="AY19">
        <v>3</v>
      </c>
    </row>
    <row r="20" spans="1:51" x14ac:dyDescent="0.2">
      <c r="AL20" s="33">
        <v>41</v>
      </c>
      <c r="AM20" s="34"/>
      <c r="AN20" s="34"/>
      <c r="AO20" s="34"/>
      <c r="AP20" s="34"/>
      <c r="AQ20" s="36" t="e">
        <f t="shared" si="2"/>
        <v>#DIV/0!</v>
      </c>
      <c r="AR20" s="36" t="e">
        <f t="shared" si="3"/>
        <v>#DIV/0!</v>
      </c>
      <c r="AS20" s="13"/>
    </row>
    <row r="21" spans="1:51" x14ac:dyDescent="0.2">
      <c r="A21" s="27" t="s">
        <v>6</v>
      </c>
      <c r="B21" s="27"/>
      <c r="D21" t="s">
        <v>7</v>
      </c>
      <c r="E21" s="123" t="s">
        <v>8</v>
      </c>
      <c r="F21" s="123"/>
      <c r="G21" s="123"/>
      <c r="H21" t="s">
        <v>7</v>
      </c>
      <c r="J21" s="124"/>
      <c r="K21" s="124"/>
      <c r="L21" s="124"/>
      <c r="M21" s="124"/>
      <c r="AL21" s="33">
        <v>52</v>
      </c>
      <c r="AS21" s="13">
        <v>1</v>
      </c>
      <c r="AT21">
        <v>3</v>
      </c>
      <c r="AW21">
        <v>3</v>
      </c>
    </row>
    <row r="22" spans="1:51" x14ac:dyDescent="0.2">
      <c r="A22" s="17" t="s">
        <v>9</v>
      </c>
      <c r="B22" s="17"/>
      <c r="C22" s="18">
        <f>SUM(B4,B9,G9,I4,O4,O14,K14,F14,B14,O9)</f>
        <v>6</v>
      </c>
      <c r="D22" s="17"/>
      <c r="E22" s="17" t="s">
        <v>9</v>
      </c>
      <c r="F22" s="17"/>
      <c r="G22" s="18">
        <f>SUM(V4,V9,V14,Z14,AA9,AC4,AE14,AI14,AI9,AI4)</f>
        <v>3</v>
      </c>
      <c r="H22" s="17"/>
      <c r="J22" s="125" t="s">
        <v>19</v>
      </c>
      <c r="K22" s="125"/>
      <c r="L22" s="125"/>
      <c r="M22" s="125"/>
      <c r="N22" s="125"/>
      <c r="O22" s="125"/>
      <c r="T22" s="27" t="s">
        <v>28</v>
      </c>
      <c r="AL22" s="33">
        <v>96</v>
      </c>
      <c r="AM22" s="34"/>
      <c r="AN22" s="34"/>
      <c r="AO22" s="34"/>
      <c r="AP22" s="34"/>
      <c r="AQ22" s="36" t="e">
        <f>SUM(AM22/(AM22+AN22+AO22))</f>
        <v>#DIV/0!</v>
      </c>
      <c r="AR22" s="36" t="e">
        <f>SUM(AP22/(AO22+AN22+AM22))</f>
        <v>#DIV/0!</v>
      </c>
      <c r="AS22" s="13"/>
      <c r="AT22">
        <v>2</v>
      </c>
    </row>
    <row r="23" spans="1:51" x14ac:dyDescent="0.2">
      <c r="A23" s="28" t="s">
        <v>10</v>
      </c>
      <c r="B23" s="28"/>
      <c r="C23" s="18">
        <f>SUM(B5,B10,B15,G10,F15,I5,K15,O15,O10,O5)</f>
        <v>8</v>
      </c>
      <c r="D23" s="28"/>
      <c r="E23" s="28" t="s">
        <v>10</v>
      </c>
      <c r="F23" s="28"/>
      <c r="G23" s="18">
        <f>SUM(V5,V10,V15,AA10,AC5,Z15,AE15,AI5,AI10,AI15)</f>
        <v>4</v>
      </c>
      <c r="H23" s="28"/>
      <c r="J23" s="98" t="s">
        <v>20</v>
      </c>
      <c r="K23" s="99"/>
      <c r="L23" s="98" t="s">
        <v>21</v>
      </c>
      <c r="M23" s="99"/>
      <c r="N23" s="128" t="s">
        <v>22</v>
      </c>
      <c r="O23" s="129"/>
      <c r="T23" s="15" t="s">
        <v>29</v>
      </c>
      <c r="U23" s="16" t="s">
        <v>7</v>
      </c>
      <c r="V23" s="98" t="s">
        <v>15</v>
      </c>
      <c r="W23" s="99"/>
      <c r="X23" s="98" t="s">
        <v>16</v>
      </c>
      <c r="Y23" s="99"/>
      <c r="AL23" s="33">
        <v>43</v>
      </c>
      <c r="AM23" s="34"/>
      <c r="AN23" s="34"/>
      <c r="AO23" s="34"/>
      <c r="AP23" s="34"/>
      <c r="AQ23" s="36" t="e">
        <f>SUM(AM23/(AM23+AN23+AO23))</f>
        <v>#DIV/0!</v>
      </c>
      <c r="AR23" s="36" t="e">
        <f>SUM(AP23/(AO23+AN23+AM23))</f>
        <v>#DIV/0!</v>
      </c>
      <c r="AS23" s="13"/>
      <c r="AT23">
        <v>3</v>
      </c>
      <c r="AV23">
        <v>1</v>
      </c>
      <c r="AW23">
        <v>2</v>
      </c>
      <c r="AY23">
        <v>3</v>
      </c>
    </row>
    <row r="24" spans="1:51" x14ac:dyDescent="0.2">
      <c r="A24" s="28" t="s">
        <v>11</v>
      </c>
      <c r="B24" s="28"/>
      <c r="C24" s="18">
        <f>SUM(B11,B6,B16,O6,I6,G11,F16,K16,O16,O11)</f>
        <v>9</v>
      </c>
      <c r="D24" s="28"/>
      <c r="E24" s="28" t="s">
        <v>11</v>
      </c>
      <c r="F24" s="28"/>
      <c r="G24" s="18">
        <f>SUM(V6,V11,V16,AA11,AC6,Z16,AE16,AI6,AI11,AI16)</f>
        <v>6</v>
      </c>
      <c r="H24" s="28"/>
      <c r="J24" s="9" t="s">
        <v>27</v>
      </c>
      <c r="K24" s="20"/>
      <c r="L24" s="9"/>
      <c r="M24" s="20"/>
      <c r="N24" s="9"/>
      <c r="O24" s="10"/>
      <c r="T24" s="100">
        <v>4</v>
      </c>
      <c r="U24" s="101"/>
      <c r="V24" s="100">
        <v>2</v>
      </c>
      <c r="W24" s="101"/>
      <c r="X24" s="100">
        <v>2</v>
      </c>
      <c r="Y24" s="101"/>
      <c r="AL24" s="33">
        <v>97</v>
      </c>
      <c r="AS24" s="13"/>
    </row>
    <row r="25" spans="1:51" x14ac:dyDescent="0.2">
      <c r="A25" s="17" t="s">
        <v>12</v>
      </c>
      <c r="B25" s="17"/>
      <c r="C25" s="18">
        <f>SUM(B17,B12,B7,I7,G12,F17,K17,O17,O12,O7)</f>
        <v>3</v>
      </c>
      <c r="D25" s="28"/>
      <c r="E25" s="28" t="s">
        <v>12</v>
      </c>
      <c r="F25" s="28"/>
      <c r="G25" s="18">
        <f>SUM(,V7,V12,V17,Z17,AA12,AC7,AE17,AI7,AI12,AI17)</f>
        <v>1</v>
      </c>
      <c r="H25" s="28"/>
      <c r="J25" s="13" t="s">
        <v>16</v>
      </c>
      <c r="L25" s="13" t="s">
        <v>16</v>
      </c>
      <c r="N25" s="13" t="s">
        <v>16</v>
      </c>
      <c r="O25" s="14"/>
      <c r="T25" s="102"/>
      <c r="U25" s="103"/>
      <c r="V25" s="102"/>
      <c r="W25" s="103"/>
      <c r="X25" s="102"/>
      <c r="Y25" s="103"/>
      <c r="AL25" s="87" t="s">
        <v>54</v>
      </c>
      <c r="AM25" s="34"/>
      <c r="AN25" s="34"/>
      <c r="AO25" s="34"/>
      <c r="AP25" s="34"/>
      <c r="AQ25" s="36" t="e">
        <f>SUM(AM25/(AM25+AN25+AO25))</f>
        <v>#DIV/0!</v>
      </c>
      <c r="AR25" s="36" t="e">
        <f>SUM(AP25/(AO25+AN25+AM25))</f>
        <v>#DIV/0!</v>
      </c>
    </row>
    <row r="26" spans="1:51" x14ac:dyDescent="0.2">
      <c r="C26" s="18"/>
      <c r="G26" s="18"/>
      <c r="J26" s="11"/>
      <c r="K26" s="17"/>
      <c r="L26" s="11"/>
      <c r="M26" s="17"/>
      <c r="N26" s="11"/>
      <c r="O26" s="12"/>
      <c r="T26" s="102"/>
      <c r="U26" s="103"/>
      <c r="V26" s="102"/>
      <c r="W26" s="103"/>
      <c r="X26" s="102"/>
      <c r="Y26" s="103"/>
      <c r="AL26" s="87" t="s">
        <v>54</v>
      </c>
      <c r="AM26" s="34"/>
      <c r="AN26" s="34"/>
      <c r="AO26" s="34"/>
      <c r="AP26" s="34"/>
      <c r="AQ26" s="36" t="e">
        <f>SUM(AM26/(AM26+AN26+AO26))</f>
        <v>#DIV/0!</v>
      </c>
      <c r="AR26" s="36" t="e">
        <f>SUM(AP26/(AO26+AN26+AM26))</f>
        <v>#DIV/0!</v>
      </c>
    </row>
    <row r="27" spans="1:51" x14ac:dyDescent="0.2">
      <c r="A27" s="98" t="s">
        <v>13</v>
      </c>
      <c r="B27" s="126"/>
      <c r="C27" s="126"/>
      <c r="D27" s="99"/>
      <c r="E27" s="98" t="s">
        <v>14</v>
      </c>
      <c r="F27" s="126"/>
      <c r="G27" s="126"/>
      <c r="H27" s="99"/>
      <c r="T27" s="104"/>
      <c r="U27" s="105"/>
      <c r="V27" s="104"/>
      <c r="W27" s="105"/>
      <c r="X27" s="104"/>
      <c r="Y27" s="105"/>
      <c r="AL27" s="87" t="s">
        <v>54</v>
      </c>
      <c r="AM27" s="34"/>
      <c r="AN27" s="34"/>
      <c r="AO27" s="34"/>
      <c r="AP27" s="34"/>
      <c r="AQ27" s="36" t="e">
        <f>SUM(AM27/(AM27+AN27+AO27))</f>
        <v>#DIV/0!</v>
      </c>
      <c r="AR27" s="36" t="e">
        <f>SUM(AP27/(AO27+AN27+AM27))</f>
        <v>#DIV/0!</v>
      </c>
    </row>
    <row r="28" spans="1:51" x14ac:dyDescent="0.2">
      <c r="A28" s="98" t="s">
        <v>15</v>
      </c>
      <c r="B28" s="99"/>
      <c r="C28" s="98" t="s">
        <v>16</v>
      </c>
      <c r="D28" s="99"/>
      <c r="E28" s="29" t="s">
        <v>17</v>
      </c>
      <c r="F28" s="28"/>
      <c r="G28" s="29" t="s">
        <v>18</v>
      </c>
      <c r="H28" s="16"/>
      <c r="J28" s="118" t="s">
        <v>23</v>
      </c>
      <c r="K28" s="127"/>
      <c r="L28" s="106" t="s">
        <v>24</v>
      </c>
      <c r="M28" s="108"/>
      <c r="N28" s="106" t="s">
        <v>25</v>
      </c>
      <c r="O28" s="108"/>
      <c r="P28" s="30" t="s">
        <v>26</v>
      </c>
      <c r="AL28" s="87" t="s">
        <v>54</v>
      </c>
      <c r="AM28" s="34"/>
      <c r="AN28" s="34"/>
      <c r="AO28" s="34"/>
      <c r="AP28" s="34"/>
      <c r="AQ28" s="36" t="e">
        <f>SUM(AM28/(AM28+AN28+AO28))</f>
        <v>#DIV/0!</v>
      </c>
      <c r="AR28" s="36" t="e">
        <f>SUM(AP28/(AO28+AN28+AM28))</f>
        <v>#DIV/0!</v>
      </c>
      <c r="AS28" s="34"/>
      <c r="AT28" s="34"/>
    </row>
    <row r="29" spans="1:51" x14ac:dyDescent="0.2">
      <c r="A29" s="13">
        <v>2</v>
      </c>
      <c r="B29" s="14"/>
      <c r="C29" s="9">
        <v>1</v>
      </c>
      <c r="D29" s="20"/>
      <c r="E29" s="9"/>
      <c r="F29" s="20"/>
      <c r="G29" s="9"/>
      <c r="H29" s="10"/>
      <c r="J29" s="15">
        <f>SUM(G22)</f>
        <v>3</v>
      </c>
      <c r="K29" s="16"/>
      <c r="L29" s="15">
        <f>SUM(G22-G25)</f>
        <v>2</v>
      </c>
      <c r="M29" s="16"/>
      <c r="N29" s="15">
        <f>SUM(G25)</f>
        <v>1</v>
      </c>
      <c r="O29" s="16"/>
      <c r="P29" s="121">
        <f>SUM(L29/J29)</f>
        <v>0.66666666666666663</v>
      </c>
      <c r="Q29" s="120"/>
      <c r="T29" s="27" t="s">
        <v>142</v>
      </c>
      <c r="AL29" s="44"/>
    </row>
    <row r="30" spans="1:51" x14ac:dyDescent="0.2">
      <c r="A30" s="13"/>
      <c r="B30" s="14"/>
      <c r="C30" s="13"/>
      <c r="E30" s="13"/>
      <c r="G30" s="13"/>
      <c r="H30" s="14"/>
      <c r="T30" s="15" t="s">
        <v>29</v>
      </c>
      <c r="U30" s="16" t="s">
        <v>7</v>
      </c>
      <c r="V30" s="98" t="s">
        <v>15</v>
      </c>
      <c r="W30" s="99"/>
      <c r="X30" s="98" t="s">
        <v>16</v>
      </c>
      <c r="Y30" s="99"/>
      <c r="AL30" s="44"/>
    </row>
    <row r="31" spans="1:51" x14ac:dyDescent="0.2">
      <c r="A31" s="13"/>
      <c r="B31" s="14"/>
      <c r="C31" s="13"/>
      <c r="E31" s="13"/>
      <c r="G31" s="13"/>
      <c r="H31" s="14"/>
      <c r="J31" s="106" t="s">
        <v>60</v>
      </c>
      <c r="K31" s="107"/>
      <c r="L31" s="108"/>
      <c r="M31" s="15" t="s">
        <v>62</v>
      </c>
      <c r="N31" s="84">
        <v>10.55</v>
      </c>
      <c r="O31" s="10"/>
      <c r="T31" s="100">
        <v>8</v>
      </c>
      <c r="U31" s="101"/>
      <c r="V31" s="100">
        <v>6</v>
      </c>
      <c r="W31" s="101"/>
      <c r="X31" s="100">
        <v>2</v>
      </c>
      <c r="Y31" s="101"/>
      <c r="AL31" s="44"/>
    </row>
    <row r="32" spans="1:51" x14ac:dyDescent="0.2">
      <c r="A32" s="13"/>
      <c r="B32" s="14"/>
      <c r="C32" s="13"/>
      <c r="E32" s="13"/>
      <c r="G32" s="13"/>
      <c r="H32" s="14"/>
      <c r="J32" s="13"/>
      <c r="K32" s="111">
        <f>N31/20</f>
        <v>0.52750000000000008</v>
      </c>
      <c r="L32" s="112"/>
      <c r="M32" s="112">
        <f>1-K32</f>
        <v>0.47249999999999992</v>
      </c>
      <c r="N32" s="115"/>
      <c r="O32" s="14"/>
      <c r="T32" s="102"/>
      <c r="U32" s="103"/>
      <c r="V32" s="102"/>
      <c r="W32" s="103"/>
      <c r="X32" s="102"/>
      <c r="Y32" s="103"/>
      <c r="AL32" s="44"/>
    </row>
    <row r="33" spans="1:38" x14ac:dyDescent="0.2">
      <c r="A33" s="11"/>
      <c r="B33" s="12"/>
      <c r="C33" s="11"/>
      <c r="D33" s="17"/>
      <c r="E33" s="11"/>
      <c r="F33" s="17"/>
      <c r="G33" s="11"/>
      <c r="H33" s="12"/>
      <c r="J33" s="11"/>
      <c r="K33" s="113"/>
      <c r="L33" s="114"/>
      <c r="M33" s="114"/>
      <c r="N33" s="116"/>
      <c r="O33" s="12"/>
      <c r="T33" s="102"/>
      <c r="U33" s="103"/>
      <c r="V33" s="102"/>
      <c r="W33" s="103"/>
      <c r="X33" s="102"/>
      <c r="Y33" s="103"/>
      <c r="AL33" s="44"/>
    </row>
    <row r="34" spans="1:38" x14ac:dyDescent="0.2">
      <c r="K34" s="117" t="s">
        <v>143</v>
      </c>
      <c r="L34" s="117"/>
      <c r="M34" s="117" t="s">
        <v>61</v>
      </c>
      <c r="N34" s="117"/>
      <c r="T34" s="104"/>
      <c r="U34" s="105"/>
      <c r="V34" s="104"/>
      <c r="W34" s="105"/>
      <c r="X34" s="104"/>
      <c r="Y34" s="105"/>
      <c r="AL34" s="44"/>
    </row>
  </sheetData>
  <sortState xmlns:xlrd2="http://schemas.microsoft.com/office/spreadsheetml/2017/richdata2" ref="AL2:AU28">
    <sortCondition ref="AL2:AL28"/>
  </sortState>
  <mergeCells count="31">
    <mergeCell ref="J31:L31"/>
    <mergeCell ref="K32:L33"/>
    <mergeCell ref="M32:N33"/>
    <mergeCell ref="K34:L34"/>
    <mergeCell ref="M34:N34"/>
    <mergeCell ref="N28:O28"/>
    <mergeCell ref="P29:Q29"/>
    <mergeCell ref="A27:D27"/>
    <mergeCell ref="E27:H27"/>
    <mergeCell ref="A28:B28"/>
    <mergeCell ref="C28:D28"/>
    <mergeCell ref="J28:K28"/>
    <mergeCell ref="L28:M28"/>
    <mergeCell ref="X24:Y27"/>
    <mergeCell ref="G1:J1"/>
    <mergeCell ref="AA1:AD1"/>
    <mergeCell ref="J23:K23"/>
    <mergeCell ref="L23:M23"/>
    <mergeCell ref="N23:O23"/>
    <mergeCell ref="V23:W23"/>
    <mergeCell ref="X23:Y23"/>
    <mergeCell ref="E21:G21"/>
    <mergeCell ref="J21:M21"/>
    <mergeCell ref="J22:O22"/>
    <mergeCell ref="T24:U27"/>
    <mergeCell ref="V24:W27"/>
    <mergeCell ref="V30:W30"/>
    <mergeCell ref="X30:Y30"/>
    <mergeCell ref="T31:U34"/>
    <mergeCell ref="V31:W34"/>
    <mergeCell ref="X31:Y34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CED9-715F-FD4D-83B2-9801EBA20349}">
  <sheetPr codeName="Blad6"/>
  <dimension ref="A1:AY34"/>
  <sheetViews>
    <sheetView zoomScale="80" zoomScaleNormal="80" workbookViewId="0">
      <selection activeCell="K34" sqref="K34:L34"/>
    </sheetView>
  </sheetViews>
  <sheetFormatPr baseColWidth="10" defaultRowHeight="16" x14ac:dyDescent="0.2"/>
  <cols>
    <col min="1" max="17" width="4.1640625" customWidth="1"/>
    <col min="18" max="18" width="4.1640625" hidden="1" customWidth="1"/>
    <col min="19" max="19" width="4.1640625" customWidth="1"/>
    <col min="21" max="36" width="4.1640625" customWidth="1"/>
    <col min="39" max="44" width="0" hidden="1" customWidth="1"/>
  </cols>
  <sheetData>
    <row r="1" spans="1:51" ht="17" x14ac:dyDescent="0.2">
      <c r="A1" s="1"/>
      <c r="B1" s="2"/>
      <c r="C1" s="2"/>
      <c r="D1" s="2"/>
      <c r="E1" s="2"/>
      <c r="F1" s="2"/>
      <c r="G1" s="122" t="s">
        <v>4</v>
      </c>
      <c r="H1" s="122"/>
      <c r="I1" s="122"/>
      <c r="J1" s="122"/>
      <c r="K1" s="2"/>
      <c r="L1" s="2"/>
      <c r="M1" s="2"/>
      <c r="N1" s="2"/>
      <c r="O1" s="2"/>
      <c r="P1" s="3"/>
      <c r="U1" s="1"/>
      <c r="V1" s="2"/>
      <c r="W1" s="2"/>
      <c r="X1" s="2"/>
      <c r="Y1" s="2"/>
      <c r="Z1" s="2"/>
      <c r="AA1" s="122" t="s">
        <v>5</v>
      </c>
      <c r="AB1" s="122"/>
      <c r="AC1" s="122"/>
      <c r="AD1" s="122"/>
      <c r="AE1" s="2"/>
      <c r="AF1" s="2"/>
      <c r="AG1" s="2"/>
      <c r="AH1" s="2"/>
      <c r="AI1" s="2"/>
      <c r="AJ1" s="3"/>
      <c r="AL1" s="34" t="s">
        <v>38</v>
      </c>
      <c r="AM1" t="s">
        <v>9</v>
      </c>
      <c r="AN1" t="s">
        <v>10</v>
      </c>
      <c r="AO1" t="s">
        <v>11</v>
      </c>
      <c r="AP1" t="s">
        <v>12</v>
      </c>
      <c r="AQ1" s="36" t="s">
        <v>41</v>
      </c>
      <c r="AR1" t="s">
        <v>42</v>
      </c>
      <c r="AS1" s="13" t="s">
        <v>39</v>
      </c>
      <c r="AT1" t="s">
        <v>68</v>
      </c>
      <c r="AU1" t="s">
        <v>57</v>
      </c>
      <c r="AV1" t="s">
        <v>69</v>
      </c>
      <c r="AW1" t="s">
        <v>71</v>
      </c>
      <c r="AX1" t="s">
        <v>70</v>
      </c>
      <c r="AY1" t="s">
        <v>72</v>
      </c>
    </row>
    <row r="2" spans="1:51" x14ac:dyDescent="0.2">
      <c r="A2" s="4"/>
      <c r="P2" s="5"/>
      <c r="U2" s="4"/>
      <c r="AJ2" s="5"/>
      <c r="AL2" s="33">
        <v>4</v>
      </c>
      <c r="AM2" s="34"/>
      <c r="AN2" s="34"/>
      <c r="AO2" s="34"/>
      <c r="AP2" s="34"/>
      <c r="AQ2" s="36" t="e">
        <f t="shared" ref="AQ2:AQ10" si="0">SUM(AM2/(AM2+AN2+AO2))</f>
        <v>#DIV/0!</v>
      </c>
      <c r="AR2" s="36" t="e">
        <f t="shared" ref="AR2:AR10" si="1">SUM(AP2/(AO2+AN2+AM2))</f>
        <v>#DIV/0!</v>
      </c>
      <c r="AS2" s="13"/>
    </row>
    <row r="3" spans="1:51" ht="17" thickBot="1" x14ac:dyDescent="0.25">
      <c r="A3" s="19"/>
      <c r="B3" s="20"/>
      <c r="C3" s="20"/>
      <c r="D3" s="20"/>
      <c r="E3" s="20"/>
      <c r="F3" s="20"/>
      <c r="G3" s="20"/>
      <c r="H3" s="21"/>
      <c r="I3" s="22"/>
      <c r="J3" s="20"/>
      <c r="K3" s="20"/>
      <c r="L3" s="20"/>
      <c r="M3" s="20"/>
      <c r="N3" s="20"/>
      <c r="O3" s="20"/>
      <c r="P3" s="23"/>
      <c r="U3" s="19"/>
      <c r="V3" s="20"/>
      <c r="W3" s="20"/>
      <c r="X3" s="20"/>
      <c r="Y3" s="20"/>
      <c r="Z3" s="20"/>
      <c r="AA3" s="20"/>
      <c r="AB3" s="21"/>
      <c r="AC3" s="22"/>
      <c r="AD3" s="20"/>
      <c r="AE3" s="20"/>
      <c r="AF3" s="20"/>
      <c r="AG3" s="20"/>
      <c r="AH3" s="20"/>
      <c r="AI3" s="20"/>
      <c r="AJ3" s="23"/>
      <c r="AL3" s="33">
        <v>7</v>
      </c>
      <c r="AM3" s="34"/>
      <c r="AN3" s="34"/>
      <c r="AO3" s="34"/>
      <c r="AP3" s="34"/>
      <c r="AQ3" s="36" t="e">
        <f t="shared" si="0"/>
        <v>#DIV/0!</v>
      </c>
      <c r="AR3" s="36" t="e">
        <f t="shared" si="1"/>
        <v>#DIV/0!</v>
      </c>
      <c r="AS3" s="13"/>
    </row>
    <row r="4" spans="1:51" x14ac:dyDescent="0.2">
      <c r="A4" t="s">
        <v>0</v>
      </c>
      <c r="B4">
        <f>SUM(SkottSpelare!AU3,SkottSpelare!AU18,SkottSpelare!AU33,SkottSpelare!AU48,SkottSpelare!AU63,SkottSpelare!AU78,SkottSpelare!AU93,SkottSpelare!AU108,SkottSpelare!AU123,SkottSpelare!AU138,SkottSpelare!AU153,SkottSpelare!AU168,SkottSpelare!AU183,SkottSpelare!AU198,SkottSpelare!AU213,SkottSpelare!AU228,SkottSpelare!AU243,SkottSpelare!AU258,SkottSpelare!AU273,SkottSpelare!AU288,SkottSpelare!AU303,SkottSpelare!AU318,SkottSpelare!AU333,SkottSpelare!AU348,SkottSpelare!AU363,SkottSpelare!AU378,SkottSpelare!AU393,SkottSpelare!AU408,SkottSpelare!AU423,SkottSpelare!AU438,SkottSpelare!AU453,SkottSpelare!AU468)</f>
        <v>0</v>
      </c>
      <c r="H4" t="s">
        <v>0</v>
      </c>
      <c r="I4">
        <f>SUM(SkottSpelare!AY3,SkottSpelare!AY18,SkottSpelare!AY33,SkottSpelare!AY48,SkottSpelare!AY63,SkottSpelare!AY78,SkottSpelare!AY93,SkottSpelare!AY108,SkottSpelare!AY123,SkottSpelare!AY138,SkottSpelare!AY153,SkottSpelare!AY168,SkottSpelare!AY183,SkottSpelare!AY198,SkottSpelare!AY213,SkottSpelare!AY228,SkottSpelare!AY243,SkottSpelare!AY258,SkottSpelare!AY273,SkottSpelare!AY288,SkottSpelare!AY303,SkottSpelare!AY318,SkottSpelare!AY333,SkottSpelare!AY348,SkottSpelare!AY363,SkottSpelare!AY378,SkottSpelare!AY393,SkottSpelare!AY408,SkottSpelare!AY423,SkottSpelare!AY438,SkottSpelare!AY453,SkottSpelare!AY468)</f>
        <v>0</v>
      </c>
      <c r="N4" t="s">
        <v>0</v>
      </c>
      <c r="O4">
        <f>SUM(SkottSpelare!BD3,SkottSpelare!BD18,SkottSpelare!BD33,SkottSpelare!BD48,SkottSpelare!BD63,SkottSpelare!BD78,SkottSpelare!BD93,SkottSpelare!BD108,SkottSpelare!BD123,SkottSpelare!BD138,SkottSpelare!BD153,SkottSpelare!BD168,SkottSpelare!BD183,SkottSpelare!BD198,SkottSpelare!BD213,SkottSpelare!BD228,SkottSpelare!BD243,SkottSpelare!BD258,SkottSpelare!BD273,SkottSpelare!BD288,SkottSpelare!BD303,SkottSpelare!BD318,SkottSpelare!BD333,SkottSpelare!BD348,SkottSpelare!BD363,SkottSpelare!BD378,SkottSpelare!BD393,SkottSpelare!BD408,SkottSpelare!BD423,SkottSpelare!BD438,SkottSpelare!BD453,SkottSpelare!BD468)</f>
        <v>0</v>
      </c>
      <c r="P4" s="5"/>
      <c r="U4" s="4" t="s">
        <v>0</v>
      </c>
      <c r="AB4" t="s">
        <v>0</v>
      </c>
      <c r="AH4" t="s">
        <v>0</v>
      </c>
      <c r="AJ4" s="5"/>
      <c r="AL4" s="33">
        <v>6</v>
      </c>
      <c r="AM4" s="34"/>
      <c r="AN4" s="34"/>
      <c r="AO4" s="34"/>
      <c r="AP4" s="34"/>
      <c r="AQ4" s="36" t="e">
        <f t="shared" si="0"/>
        <v>#DIV/0!</v>
      </c>
      <c r="AR4" s="36" t="e">
        <f t="shared" si="1"/>
        <v>#DIV/0!</v>
      </c>
      <c r="AS4" s="35"/>
      <c r="AT4" s="34"/>
    </row>
    <row r="5" spans="1:51" x14ac:dyDescent="0.2">
      <c r="A5" t="s">
        <v>1</v>
      </c>
      <c r="B5">
        <f>SUM(SkottSpelare!AU4,SkottSpelare!AU19,SkottSpelare!AU34,SkottSpelare!AU49,SkottSpelare!AU64,SkottSpelare!AU79,SkottSpelare!AU94,SkottSpelare!AU109,SkottSpelare!AU124,SkottSpelare!AU139,SkottSpelare!AU154,SkottSpelare!AU169,SkottSpelare!AU184,SkottSpelare!AU199,SkottSpelare!AU214,SkottSpelare!AU229,SkottSpelare!AU244,SkottSpelare!AU259,SkottSpelare!AU274,SkottSpelare!AU289,SkottSpelare!AU304,SkottSpelare!AU319,SkottSpelare!AU334,SkottSpelare!AU349,SkottSpelare!AU364,SkottSpelare!AU379,SkottSpelare!AU394,SkottSpelare!AU409,SkottSpelare!AU424,SkottSpelare!AU439,SkottSpelare!AU454,SkottSpelare!AU469)</f>
        <v>0</v>
      </c>
      <c r="H5" t="s">
        <v>1</v>
      </c>
      <c r="I5">
        <f>SUM(SkottSpelare!AY4,SkottSpelare!AY19,SkottSpelare!AY34,SkottSpelare!AY49,SkottSpelare!AY64,SkottSpelare!AY79,SkottSpelare!AY94,SkottSpelare!AY109,SkottSpelare!AY124,SkottSpelare!AY139,SkottSpelare!AY154,SkottSpelare!AY169,SkottSpelare!AY184,SkottSpelare!AY199,SkottSpelare!AY214,SkottSpelare!AY229,SkottSpelare!AY244,SkottSpelare!AY259,SkottSpelare!AY274,SkottSpelare!AY289,SkottSpelare!AY304,SkottSpelare!AY319,SkottSpelare!AY334,SkottSpelare!AY349,SkottSpelare!AY364,SkottSpelare!AY379,SkottSpelare!AY394,SkottSpelare!AY409,SkottSpelare!AY424,SkottSpelare!AY439,SkottSpelare!AY454,SkottSpelare!AY469)</f>
        <v>0</v>
      </c>
      <c r="N5" t="s">
        <v>1</v>
      </c>
      <c r="O5">
        <f>SUM(SkottSpelare!BD4,SkottSpelare!BD19,SkottSpelare!BD34,SkottSpelare!BD49,SkottSpelare!BD64,SkottSpelare!BD79,SkottSpelare!BD94,SkottSpelare!BD109,SkottSpelare!BD124,SkottSpelare!BD139,SkottSpelare!BD154,SkottSpelare!BD169,SkottSpelare!BD184,SkottSpelare!BD199,SkottSpelare!BD214,SkottSpelare!BD229,SkottSpelare!BD244,SkottSpelare!BD259,SkottSpelare!BD274,SkottSpelare!BD289,SkottSpelare!BD304,SkottSpelare!BD319,SkottSpelare!BD334,SkottSpelare!BD349,SkottSpelare!BD364,SkottSpelare!BD379,SkottSpelare!BD394,SkottSpelare!BD409,SkottSpelare!BD424,SkottSpelare!BD439,SkottSpelare!BD454,SkottSpelare!BD469)</f>
        <v>0</v>
      </c>
      <c r="P5" s="5"/>
      <c r="U5" s="4" t="s">
        <v>1</v>
      </c>
      <c r="AB5" t="s">
        <v>1</v>
      </c>
      <c r="AH5" t="s">
        <v>1</v>
      </c>
      <c r="AJ5" s="5"/>
      <c r="AL5" s="33">
        <v>2</v>
      </c>
      <c r="AQ5" s="36" t="e">
        <f t="shared" si="0"/>
        <v>#DIV/0!</v>
      </c>
      <c r="AR5" s="36" t="e">
        <f t="shared" si="1"/>
        <v>#DIV/0!</v>
      </c>
      <c r="AS5" s="13"/>
    </row>
    <row r="6" spans="1:51" x14ac:dyDescent="0.2">
      <c r="A6" t="s">
        <v>2</v>
      </c>
      <c r="B6">
        <f>SUM(SkottSpelare!AU5,SkottSpelare!AU20,SkottSpelare!AU35,SkottSpelare!AU50,SkottSpelare!AU65,SkottSpelare!AU80,SkottSpelare!AU95,SkottSpelare!AU110,SkottSpelare!AU125,SkottSpelare!AU140,SkottSpelare!AU155,SkottSpelare!AU170,SkottSpelare!AU185,SkottSpelare!AU200,SkottSpelare!AU215,SkottSpelare!AU230,SkottSpelare!AU245,SkottSpelare!AU260,SkottSpelare!AU275,SkottSpelare!AU290,SkottSpelare!AU305,SkottSpelare!AU320,SkottSpelare!AU335,SkottSpelare!AU350,SkottSpelare!AU365,SkottSpelare!AU380,SkottSpelare!AU395,SkottSpelare!AU410,SkottSpelare!AU425,SkottSpelare!AU440,SkottSpelare!AU455,SkottSpelare!AU470)</f>
        <v>0</v>
      </c>
      <c r="H6" t="s">
        <v>2</v>
      </c>
      <c r="I6">
        <f>SUM(SkottSpelare!AY5,SkottSpelare!AY20,SkottSpelare!AY35,SkottSpelare!AY50,SkottSpelare!AY65,SkottSpelare!AY80,SkottSpelare!AY95,SkottSpelare!AY110,SkottSpelare!AY125,SkottSpelare!AY140,SkottSpelare!AY155,SkottSpelare!AY170,SkottSpelare!AY185,SkottSpelare!AY200,SkottSpelare!AY215,SkottSpelare!AY230,SkottSpelare!AY245,SkottSpelare!AY260,SkottSpelare!AY275,SkottSpelare!AY290,SkottSpelare!AY305,SkottSpelare!AY320,SkottSpelare!AY335,SkottSpelare!AY350,SkottSpelare!AY365,SkottSpelare!AY380,SkottSpelare!AY395,SkottSpelare!AY410,SkottSpelare!AY425,SkottSpelare!AY440,SkottSpelare!AY455,SkottSpelare!AY470)</f>
        <v>0</v>
      </c>
      <c r="N6" t="s">
        <v>2</v>
      </c>
      <c r="O6">
        <f>SUM(SkottSpelare!BD5,SkottSpelare!BD20,SkottSpelare!BD35,SkottSpelare!BD50,SkottSpelare!BD65,SkottSpelare!BD80,SkottSpelare!BD95,SkottSpelare!BD110,SkottSpelare!BD125,SkottSpelare!BD140,SkottSpelare!BD155,SkottSpelare!BD170,SkottSpelare!BD185,SkottSpelare!BD200,SkottSpelare!BD215,SkottSpelare!BD230,SkottSpelare!BD245,SkottSpelare!BD260,SkottSpelare!BD275,SkottSpelare!BD290,SkottSpelare!BD305,SkottSpelare!BD320,SkottSpelare!BD335,SkottSpelare!BD350,SkottSpelare!BD365,SkottSpelare!BD380,SkottSpelare!BD395,SkottSpelare!BD410,SkottSpelare!BD425,SkottSpelare!BD440,SkottSpelare!BD455,SkottSpelare!BD470)</f>
        <v>0</v>
      </c>
      <c r="P6" s="5"/>
      <c r="U6" s="4" t="s">
        <v>2</v>
      </c>
      <c r="AB6" t="s">
        <v>2</v>
      </c>
      <c r="AH6" t="s">
        <v>2</v>
      </c>
      <c r="AJ6" s="5"/>
      <c r="AL6" s="33">
        <v>12</v>
      </c>
      <c r="AM6" s="34"/>
      <c r="AN6" s="34"/>
      <c r="AO6" s="34"/>
      <c r="AP6" s="34"/>
      <c r="AQ6" s="36" t="e">
        <f t="shared" si="0"/>
        <v>#DIV/0!</v>
      </c>
      <c r="AR6" s="36" t="e">
        <f t="shared" si="1"/>
        <v>#DIV/0!</v>
      </c>
      <c r="AS6" s="13"/>
    </row>
    <row r="7" spans="1:51" x14ac:dyDescent="0.2">
      <c r="A7" s="17" t="s">
        <v>3</v>
      </c>
      <c r="B7">
        <f>SUM(SkottSpelare!AU6,SkottSpelare!AU21,SkottSpelare!AU36,SkottSpelare!AU51,SkottSpelare!AU66,SkottSpelare!AU81,SkottSpelare!AU96,SkottSpelare!AU111,SkottSpelare!AU126,SkottSpelare!AU141,SkottSpelare!AU156,SkottSpelare!AU171,SkottSpelare!AU186,SkottSpelare!AU201,SkottSpelare!AU216,SkottSpelare!AU231,SkottSpelare!AU246,SkottSpelare!AU261,SkottSpelare!AU276,SkottSpelare!AU291,SkottSpelare!AU306,SkottSpelare!AU321,SkottSpelare!AU336,SkottSpelare!AU351,SkottSpelare!AU366,SkottSpelare!AU381,SkottSpelare!AU396,SkottSpelare!AU411,SkottSpelare!AU426,SkottSpelare!AU441,SkottSpelare!AU456,SkottSpelare!AU471)</f>
        <v>0</v>
      </c>
      <c r="H7" s="17" t="s">
        <v>3</v>
      </c>
      <c r="I7">
        <f>SUM(SkottSpelare!AY6,SkottSpelare!AY21,SkottSpelare!AY36,SkottSpelare!AY51,SkottSpelare!AY66,SkottSpelare!AY81,SkottSpelare!AY96,SkottSpelare!AY111,SkottSpelare!AY126,SkottSpelare!AY141,SkottSpelare!AY156,SkottSpelare!AY171,SkottSpelare!AY186,SkottSpelare!AY201,SkottSpelare!AY216,SkottSpelare!AY231,SkottSpelare!AY246,SkottSpelare!AY261,SkottSpelare!AY276,SkottSpelare!AY291,SkottSpelare!AY306,SkottSpelare!AY321,SkottSpelare!AY336,SkottSpelare!AY351,SkottSpelare!AY366,SkottSpelare!AY381,SkottSpelare!AY396,SkottSpelare!AY411,SkottSpelare!AY426,SkottSpelare!AY441,SkottSpelare!AY456,SkottSpelare!AY471)</f>
        <v>0</v>
      </c>
      <c r="N7" s="17" t="s">
        <v>3</v>
      </c>
      <c r="O7">
        <f>SUM(SkottSpelare!BD6,SkottSpelare!BD21,SkottSpelare!BD36,SkottSpelare!BD51,SkottSpelare!BD66,SkottSpelare!BD81,SkottSpelare!BD96,SkottSpelare!BD111,SkottSpelare!BD126,SkottSpelare!BD141,SkottSpelare!BD156,SkottSpelare!BD171,SkottSpelare!BD186,SkottSpelare!BD201,SkottSpelare!BD216,SkottSpelare!BD231,SkottSpelare!BD246,SkottSpelare!BD261,SkottSpelare!BD276,SkottSpelare!BD291,SkottSpelare!BD306,SkottSpelare!BD321,SkottSpelare!BD336,SkottSpelare!BD351,SkottSpelare!BD366,SkottSpelare!BD381,SkottSpelare!BD396,SkottSpelare!BD411,SkottSpelare!BD426,SkottSpelare!BD441,SkottSpelare!BD456,SkottSpelare!BD471)</f>
        <v>0</v>
      </c>
      <c r="P7" s="5"/>
      <c r="U7" s="26" t="s">
        <v>3</v>
      </c>
      <c r="AB7" s="17" t="s">
        <v>3</v>
      </c>
      <c r="AH7" s="17" t="s">
        <v>3</v>
      </c>
      <c r="AJ7" s="5"/>
      <c r="AL7" s="33">
        <v>10</v>
      </c>
      <c r="AM7" s="34"/>
      <c r="AN7" s="34"/>
      <c r="AO7" s="34"/>
      <c r="AP7" s="34"/>
      <c r="AQ7" s="36" t="e">
        <f t="shared" si="0"/>
        <v>#DIV/0!</v>
      </c>
      <c r="AR7" s="36" t="e">
        <f t="shared" si="1"/>
        <v>#DIV/0!</v>
      </c>
      <c r="AS7" s="35"/>
      <c r="AT7" s="34"/>
    </row>
    <row r="8" spans="1:51" x14ac:dyDescent="0.2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3"/>
      <c r="U8" s="19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3"/>
      <c r="AL8" s="33">
        <v>17</v>
      </c>
      <c r="AM8" s="34"/>
      <c r="AN8" s="34"/>
      <c r="AO8" s="34"/>
      <c r="AP8" s="34"/>
      <c r="AQ8" s="36" t="e">
        <f t="shared" si="0"/>
        <v>#DIV/0!</v>
      </c>
      <c r="AR8" s="36" t="e">
        <f t="shared" si="1"/>
        <v>#DIV/0!</v>
      </c>
      <c r="AS8" s="13"/>
    </row>
    <row r="9" spans="1:51" x14ac:dyDescent="0.2">
      <c r="A9" t="s">
        <v>0</v>
      </c>
      <c r="B9">
        <f>SUM(SkottSpelare!AU7,SkottSpelare!AU22,SkottSpelare!AU37,SkottSpelare!AU52,SkottSpelare!AU67,SkottSpelare!AU82,SkottSpelare!AU97,SkottSpelare!AU112,SkottSpelare!AU127,SkottSpelare!AU142,SkottSpelare!AU157,SkottSpelare!AU172,SkottSpelare!AU187,SkottSpelare!AU202,SkottSpelare!AU217,SkottSpelare!AU232,SkottSpelare!AU247,SkottSpelare!AU262,SkottSpelare!AU277,SkottSpelare!AU292,SkottSpelare!AU307,SkottSpelare!AU322,SkottSpelare!AU337,SkottSpelare!AU352,SkottSpelare!AU367,SkottSpelare!AU382,SkottSpelare!AU397,SkottSpelare!AU412,SkottSpelare!AU427,SkottSpelare!AU442,SkottSpelare!AU457,SkottSpelare!AU472)</f>
        <v>0</v>
      </c>
      <c r="F9" t="s">
        <v>0</v>
      </c>
      <c r="G9">
        <f>SUM(SkottSpelare!AY7,SkottSpelare!AY22,SkottSpelare!AY37,SkottSpelare!AY52,SkottSpelare!AY67,SkottSpelare!AY82,SkottSpelare!AY97,SkottSpelare!AY112,SkottSpelare!AY127,SkottSpelare!AY142,SkottSpelare!AY157,SkottSpelare!AY172,SkottSpelare!AY187,SkottSpelare!AY202,SkottSpelare!AY217,SkottSpelare!AY232,SkottSpelare!AY247,SkottSpelare!AY262,SkottSpelare!AY277,SkottSpelare!AY292,SkottSpelare!AY307,SkottSpelare!AY322,SkottSpelare!AY337,SkottSpelare!AY352,SkottSpelare!AY367,SkottSpelare!AY382,SkottSpelare!AY397,SkottSpelare!AY412,SkottSpelare!AY427,SkottSpelare!AY442,SkottSpelare!AY472,SkottSpelare!AY457)</f>
        <v>0</v>
      </c>
      <c r="N9" t="s">
        <v>0</v>
      </c>
      <c r="O9">
        <f>SUM(SkottSpelare!BD7,SkottSpelare!BD22,SkottSpelare!BD37,SkottSpelare!BD52,SkottSpelare!BD67,SkottSpelare!BD82,SkottSpelare!BD97,SkottSpelare!BD112,SkottSpelare!BD127,SkottSpelare!BD142,SkottSpelare!BD157,SkottSpelare!BD172,SkottSpelare!BD187,SkottSpelare!BD202,SkottSpelare!BD217,SkottSpelare!BD232,SkottSpelare!BD247,SkottSpelare!BD262,SkottSpelare!BD277,SkottSpelare!BD292,SkottSpelare!BD307,SkottSpelare!BD322,SkottSpelare!BD337,SkottSpelare!BD352,SkottSpelare!BD367,SkottSpelare!BD382,SkottSpelare!BD397,SkottSpelare!BD412,SkottSpelare!BD427,SkottSpelare!BD442,SkottSpelare!BD457,SkottSpelare!BD472)</f>
        <v>0</v>
      </c>
      <c r="P9" s="5"/>
      <c r="U9" s="4" t="s">
        <v>0</v>
      </c>
      <c r="Z9" t="s">
        <v>0</v>
      </c>
      <c r="AH9" t="s">
        <v>0</v>
      </c>
      <c r="AJ9" s="5"/>
      <c r="AL9" s="33">
        <v>19</v>
      </c>
      <c r="AM9" s="34"/>
      <c r="AN9" s="34"/>
      <c r="AO9" s="34"/>
      <c r="AP9" s="34"/>
      <c r="AQ9" s="36" t="e">
        <f t="shared" si="0"/>
        <v>#DIV/0!</v>
      </c>
      <c r="AR9" s="36" t="e">
        <f t="shared" si="1"/>
        <v>#DIV/0!</v>
      </c>
      <c r="AS9" s="13"/>
    </row>
    <row r="10" spans="1:51" x14ac:dyDescent="0.2">
      <c r="A10" t="s">
        <v>1</v>
      </c>
      <c r="B10">
        <f>SUM(SkottSpelare!AU8,SkottSpelare!AU23,SkottSpelare!AU38,SkottSpelare!AU53,SkottSpelare!AU68,SkottSpelare!AU83,SkottSpelare!AU98,SkottSpelare!AU113,SkottSpelare!AU128,SkottSpelare!AU143,SkottSpelare!AU158,SkottSpelare!AU173,SkottSpelare!AU188,SkottSpelare!AU203,SkottSpelare!AU218,SkottSpelare!AU233,SkottSpelare!AU248,SkottSpelare!AU263,SkottSpelare!AU278,SkottSpelare!AU293,SkottSpelare!AU308,SkottSpelare!AU323,SkottSpelare!AU338,SkottSpelare!AU353,SkottSpelare!AU368,SkottSpelare!AU383,SkottSpelare!AU398,SkottSpelare!AU413,SkottSpelare!AU428,SkottSpelare!AU443,SkottSpelare!AU458,SkottSpelare!AU473)</f>
        <v>0</v>
      </c>
      <c r="F10" t="s">
        <v>1</v>
      </c>
      <c r="G10">
        <f>SUM(SkottSpelare!AY8,SkottSpelare!AY23,SkottSpelare!AY38,SkottSpelare!AY53,SkottSpelare!AY68,SkottSpelare!AY83,SkottSpelare!AY98,SkottSpelare!AY113,SkottSpelare!AY128,SkottSpelare!AY143,SkottSpelare!AY158,SkottSpelare!AY173,SkottSpelare!AY188,SkottSpelare!AY203,SkottSpelare!AY218,SkottSpelare!AY233,SkottSpelare!AY248,SkottSpelare!AY263,SkottSpelare!AY278,SkottSpelare!AY293,SkottSpelare!AY308,SkottSpelare!AY323,SkottSpelare!AY338,SkottSpelare!AY353,SkottSpelare!AY368,SkottSpelare!AY383,SkottSpelare!AY398,SkottSpelare!AY413,SkottSpelare!AY428,SkottSpelare!AY443,SkottSpelare!AY473,SkottSpelare!AY458)</f>
        <v>0</v>
      </c>
      <c r="N10" t="s">
        <v>1</v>
      </c>
      <c r="O10">
        <f>SUM(SkottSpelare!BD8,SkottSpelare!BD23,SkottSpelare!BD38,SkottSpelare!BD53,SkottSpelare!BD68,SkottSpelare!BD83,SkottSpelare!BD98,SkottSpelare!BD113,SkottSpelare!BD128,SkottSpelare!BD143,SkottSpelare!BD158,SkottSpelare!BD173,SkottSpelare!BD188,SkottSpelare!BD203,SkottSpelare!BD218,SkottSpelare!BD233,SkottSpelare!BD248,SkottSpelare!BD263,SkottSpelare!BD278,SkottSpelare!BD293,SkottSpelare!BD308,SkottSpelare!BD323,SkottSpelare!BD338,SkottSpelare!BD353,SkottSpelare!BD368,SkottSpelare!BD383,SkottSpelare!BD398,SkottSpelare!BD413,SkottSpelare!BD428,SkottSpelare!BD443,SkottSpelare!BD458,SkottSpelare!BD473)</f>
        <v>0</v>
      </c>
      <c r="P10" s="5"/>
      <c r="U10" s="4" t="s">
        <v>1</v>
      </c>
      <c r="Z10" t="s">
        <v>1</v>
      </c>
      <c r="AH10" t="s">
        <v>1</v>
      </c>
      <c r="AJ10" s="5"/>
      <c r="AL10" s="33">
        <v>22</v>
      </c>
      <c r="AM10" s="34"/>
      <c r="AN10" s="34"/>
      <c r="AO10" s="34"/>
      <c r="AP10" s="34"/>
      <c r="AQ10" s="36" t="e">
        <f t="shared" si="0"/>
        <v>#DIV/0!</v>
      </c>
      <c r="AR10" s="36" t="e">
        <f t="shared" si="1"/>
        <v>#DIV/0!</v>
      </c>
      <c r="AS10" s="13"/>
    </row>
    <row r="11" spans="1:51" x14ac:dyDescent="0.2">
      <c r="A11" t="s">
        <v>2</v>
      </c>
      <c r="B11">
        <f>SUM(SkottSpelare!AU9,SkottSpelare!AU24,SkottSpelare!AU39,SkottSpelare!AU54,SkottSpelare!AU69,SkottSpelare!AU84,SkottSpelare!AU99,SkottSpelare!AU114,SkottSpelare!AU129,SkottSpelare!AU144,SkottSpelare!AU159,SkottSpelare!AU174,SkottSpelare!AU189,SkottSpelare!AU204,SkottSpelare!AU219,SkottSpelare!AU234,SkottSpelare!AU249,SkottSpelare!AU264,SkottSpelare!AU279,SkottSpelare!AU294,SkottSpelare!AU309,SkottSpelare!AU324,SkottSpelare!AU339,SkottSpelare!AU354,SkottSpelare!AU369,SkottSpelare!AU384,SkottSpelare!AU399,SkottSpelare!AU414,SkottSpelare!AU429,SkottSpelare!AU444,SkottSpelare!AU459,SkottSpelare!AU474)</f>
        <v>0</v>
      </c>
      <c r="F11" t="s">
        <v>2</v>
      </c>
      <c r="G11">
        <f>SUM(SkottSpelare!AY9,SkottSpelare!AY24,SkottSpelare!AY39,SkottSpelare!AY54,SkottSpelare!AY69,SkottSpelare!AY84,SkottSpelare!AY99,SkottSpelare!AY114,SkottSpelare!AY129,SkottSpelare!AY144,SkottSpelare!AY159,SkottSpelare!AY174,SkottSpelare!AY189,SkottSpelare!AY204,SkottSpelare!AY219,SkottSpelare!AY234,SkottSpelare!AY249,SkottSpelare!AY264,SkottSpelare!AY279,SkottSpelare!AY294,SkottSpelare!AY309,SkottSpelare!AY324,SkottSpelare!AY339,SkottSpelare!AY354,SkottSpelare!AY369,SkottSpelare!AY384,SkottSpelare!AY399,SkottSpelare!AY414,SkottSpelare!AY429,SkottSpelare!AY444,SkottSpelare!AY474,SkottSpelare!AY459)</f>
        <v>0</v>
      </c>
      <c r="N11" t="s">
        <v>2</v>
      </c>
      <c r="O11">
        <f>SUM(SkottSpelare!BD9,SkottSpelare!BD24,SkottSpelare!BD39,SkottSpelare!BD54,SkottSpelare!BD69,SkottSpelare!BD84,SkottSpelare!BD99,SkottSpelare!BD114,SkottSpelare!BD129,SkottSpelare!BD144,SkottSpelare!BD159,SkottSpelare!BD174,SkottSpelare!BD189,SkottSpelare!BD204,SkottSpelare!BD219,SkottSpelare!BD234,SkottSpelare!BD249,SkottSpelare!BD264,SkottSpelare!BD279,SkottSpelare!BD294,SkottSpelare!BD309,SkottSpelare!BD324,SkottSpelare!BD339,SkottSpelare!BD354,SkottSpelare!BD369,SkottSpelare!BD384,SkottSpelare!BD399,SkottSpelare!BD414,SkottSpelare!BD429,SkottSpelare!BD444,SkottSpelare!BD459,SkottSpelare!BD474)</f>
        <v>0</v>
      </c>
      <c r="P11" s="5"/>
      <c r="U11" s="4" t="s">
        <v>2</v>
      </c>
      <c r="Z11" t="s">
        <v>2</v>
      </c>
      <c r="AH11" t="s">
        <v>2</v>
      </c>
      <c r="AJ11" s="5"/>
      <c r="AL11" s="33">
        <v>23</v>
      </c>
      <c r="AS11" s="13"/>
    </row>
    <row r="12" spans="1:51" x14ac:dyDescent="0.2">
      <c r="A12" s="17" t="s">
        <v>3</v>
      </c>
      <c r="B12">
        <f>SUM(SkottSpelare!AU10,SkottSpelare!AU25,SkottSpelare!AU40,SkottSpelare!AU55,SkottSpelare!AU70,SkottSpelare!AU85,SkottSpelare!AU100,SkottSpelare!AU115,SkottSpelare!AU130,SkottSpelare!AU145,SkottSpelare!AU160,SkottSpelare!AU175,SkottSpelare!AU190,SkottSpelare!AU205,SkottSpelare!AU220,SkottSpelare!AU235,SkottSpelare!AU250,SkottSpelare!AU265,SkottSpelare!AU280,SkottSpelare!AU295,SkottSpelare!AU310,SkottSpelare!AU325,SkottSpelare!AU340,SkottSpelare!AU355,SkottSpelare!AU370,SkottSpelare!AU385,SkottSpelare!AU400,SkottSpelare!AU415,SkottSpelare!AU430,SkottSpelare!AU445,SkottSpelare!AU460,SkottSpelare!AU475)</f>
        <v>0</v>
      </c>
      <c r="F12" s="17" t="s">
        <v>3</v>
      </c>
      <c r="G12">
        <f>SUM(SkottSpelare!AY10,SkottSpelare!AY25,SkottSpelare!AY40,SkottSpelare!AY55,SkottSpelare!AY70,SkottSpelare!AY85,SkottSpelare!AY100,SkottSpelare!AY115,SkottSpelare!AY130,SkottSpelare!AY145,SkottSpelare!AY160,SkottSpelare!AY175,SkottSpelare!AY190,SkottSpelare!AY205,SkottSpelare!AY220,SkottSpelare!AY235,SkottSpelare!AY250,SkottSpelare!AY265,SkottSpelare!AY280,SkottSpelare!AY295,SkottSpelare!AY310,SkottSpelare!AY325,SkottSpelare!AY340,SkottSpelare!AY355,SkottSpelare!AY370,SkottSpelare!AY385,SkottSpelare!AY400,SkottSpelare!AY415,SkottSpelare!AY430,SkottSpelare!AY445,SkottSpelare!AY475,SkottSpelare!AY460)</f>
        <v>0</v>
      </c>
      <c r="N12" s="17" t="s">
        <v>3</v>
      </c>
      <c r="O12">
        <f>SUM(SkottSpelare!BD10,SkottSpelare!BD25,SkottSpelare!BD40,SkottSpelare!BD55,SkottSpelare!BD70,SkottSpelare!BD85,SkottSpelare!BD100,SkottSpelare!BD115,SkottSpelare!BD130,SkottSpelare!BD145,SkottSpelare!BD160,SkottSpelare!BD175,SkottSpelare!BD190,SkottSpelare!BD205,SkottSpelare!BD220,SkottSpelare!BD235,SkottSpelare!BD250,SkottSpelare!BD265,SkottSpelare!BD280,SkottSpelare!BD295,SkottSpelare!BD310,SkottSpelare!BD325,SkottSpelare!BD340,SkottSpelare!BD355,SkottSpelare!BD370,SkottSpelare!BD385,SkottSpelare!BD400,SkottSpelare!BD415,SkottSpelare!BD430,SkottSpelare!BD445,SkottSpelare!BD460,SkottSpelare!BD475)</f>
        <v>0</v>
      </c>
      <c r="P12" s="5"/>
      <c r="U12" s="26" t="s">
        <v>3</v>
      </c>
      <c r="Z12" s="17" t="s">
        <v>3</v>
      </c>
      <c r="AH12" s="17" t="s">
        <v>3</v>
      </c>
      <c r="AJ12" s="5"/>
      <c r="AL12" s="33">
        <v>24</v>
      </c>
      <c r="AM12" s="34"/>
      <c r="AN12" s="34"/>
      <c r="AO12" s="34"/>
      <c r="AP12" s="34"/>
      <c r="AQ12" s="36" t="e">
        <f t="shared" ref="AQ12:AQ20" si="2">SUM(AM12/(AM12+AN12+AO12))</f>
        <v>#DIV/0!</v>
      </c>
      <c r="AR12" s="36" t="e">
        <f t="shared" ref="AR12:AR20" si="3">SUM(AP12/(AO12+AN12+AM12))</f>
        <v>#DIV/0!</v>
      </c>
      <c r="AS12" s="13"/>
    </row>
    <row r="13" spans="1:51" x14ac:dyDescent="0.2">
      <c r="B13" s="20"/>
      <c r="C13" s="10"/>
      <c r="D13" s="20"/>
      <c r="E13" s="20"/>
      <c r="F13" s="20"/>
      <c r="G13" s="20"/>
      <c r="H13" s="10"/>
      <c r="I13" s="20"/>
      <c r="J13" s="20"/>
      <c r="K13" s="20"/>
      <c r="L13" s="20"/>
      <c r="M13" s="10"/>
      <c r="N13" s="20"/>
      <c r="O13" s="20"/>
      <c r="P13" s="23"/>
      <c r="U13" s="4"/>
      <c r="V13" s="20"/>
      <c r="W13" s="10"/>
      <c r="X13" s="20"/>
      <c r="Y13" s="20"/>
      <c r="Z13" s="20"/>
      <c r="AA13" s="20"/>
      <c r="AB13" s="10"/>
      <c r="AC13" s="20"/>
      <c r="AD13" s="20"/>
      <c r="AE13" s="20"/>
      <c r="AF13" s="20"/>
      <c r="AG13" s="10"/>
      <c r="AH13" s="20"/>
      <c r="AI13" s="20"/>
      <c r="AJ13" s="23"/>
      <c r="AL13" s="33">
        <v>25</v>
      </c>
      <c r="AQ13" s="36" t="e">
        <f t="shared" si="2"/>
        <v>#DIV/0!</v>
      </c>
      <c r="AR13" s="36" t="e">
        <f t="shared" si="3"/>
        <v>#DIV/0!</v>
      </c>
      <c r="AS13" s="13"/>
    </row>
    <row r="14" spans="1:51" x14ac:dyDescent="0.2">
      <c r="A14" t="s">
        <v>0</v>
      </c>
      <c r="B14">
        <f>SUM(SkottSpelare!AU11,SkottSpelare!AU26,SkottSpelare!AU41,SkottSpelare!AU56,SkottSpelare!AU71,SkottSpelare!AU86,SkottSpelare!AU101,SkottSpelare!AU116,SkottSpelare!AU131,SkottSpelare!AU146,SkottSpelare!AU161,SkottSpelare!AU176,SkottSpelare!AU191,SkottSpelare!AU206,SkottSpelare!AU221,SkottSpelare!AU236,SkottSpelare!AU251,SkottSpelare!AU266,SkottSpelare!AU281,SkottSpelare!AU296,SkottSpelare!AU311,SkottSpelare!AU326,SkottSpelare!AU341,SkottSpelare!AU356,SkottSpelare!AU371,SkottSpelare!AU386,SkottSpelare!AU401,SkottSpelare!AU416,SkottSpelare!AU431,SkottSpelare!AU446,SkottSpelare!AU461,SkottSpelare!AU476)</f>
        <v>0</v>
      </c>
      <c r="C14" s="14"/>
      <c r="E14" t="s">
        <v>0</v>
      </c>
      <c r="F14">
        <f>SUM(SkottSpelare!AV11,SkottSpelare!AV26,SkottSpelare!AV41,SkottSpelare!AV56,SkottSpelare!AV71,SkottSpelare!AV86,SkottSpelare!AV101,SkottSpelare!AV116,SkottSpelare!AV131,SkottSpelare!AV146,SkottSpelare!AV161,SkottSpelare!AV176,SkottSpelare!AV191,SkottSpelare!AV206,SkottSpelare!AV221,SkottSpelare!AV236,SkottSpelare!AV251,SkottSpelare!AV266,SkottSpelare!AV281,SkottSpelare!AV296,SkottSpelare!AV311,SkottSpelare!AV326,SkottSpelare!AV341,SkottSpelare!AV356,SkottSpelare!AV371,SkottSpelare!AV386,SkottSpelare!AV401,SkottSpelare!AV416,SkottSpelare!AV431,SkottSpelare!AV446,SkottSpelare!AV461,SkottSpelare!AV476)</f>
        <v>0</v>
      </c>
      <c r="H14" s="14"/>
      <c r="J14" t="s">
        <v>0</v>
      </c>
      <c r="K14">
        <f>SUM(SkottSpelare!AZ11,SkottSpelare!AZ26,SkottSpelare!AZ41,SkottSpelare!AZ56,SkottSpelare!AZ71,SkottSpelare!AZ86,SkottSpelare!AZ101,SkottSpelare!AZ116,SkottSpelare!AZ131,SkottSpelare!AZ146,SkottSpelare!AZ161,SkottSpelare!AZ176,SkottSpelare!AZ191,SkottSpelare!AZ206,SkottSpelare!AZ221,SkottSpelare!AZ236,SkottSpelare!AZ251,SkottSpelare!AZ266,SkottSpelare!AZ281,SkottSpelare!AZ296,SkottSpelare!AZ311,SkottSpelare!AZ326,SkottSpelare!AZ341,SkottSpelare!AZ356,SkottSpelare!AZ371,SkottSpelare!AZ386,SkottSpelare!AZ401,SkottSpelare!AZ416,SkottSpelare!AZ431,SkottSpelare!AZ446,SkottSpelare!AZ461,SkottSpelare!AZ476)</f>
        <v>0</v>
      </c>
      <c r="N14" s="13" t="s">
        <v>0</v>
      </c>
      <c r="O14" s="72">
        <f>SUM(SkottSpelare!BD11,SkottSpelare!BD26,SkottSpelare!BD41,SkottSpelare!BD56,SkottSpelare!BD71,SkottSpelare!BD86,SkottSpelare!BD101,SkottSpelare!BD116,SkottSpelare!BD131,SkottSpelare!BD146,SkottSpelare!BD161,SkottSpelare!BD176,SkottSpelare!BD191,SkottSpelare!BD206,SkottSpelare!BD221,SkottSpelare!BD236,SkottSpelare!BD251,SkottSpelare!BD266,SkottSpelare!BD281,SkottSpelare!BD296,SkottSpelare!BD311,SkottSpelare!BD326,SkottSpelare!BD341,SkottSpelare!BD356,SkottSpelare!BD371,SkottSpelare!BD386,SkottSpelare!BD401,SkottSpelare!BD416,SkottSpelare!BD431,SkottSpelare!BD446,SkottSpelare!BD461,SkottSpelare!BD476)</f>
        <v>0</v>
      </c>
      <c r="P14" s="5"/>
      <c r="U14" s="4" t="s">
        <v>0</v>
      </c>
      <c r="W14" s="14"/>
      <c r="Y14" t="s">
        <v>0</v>
      </c>
      <c r="AB14" s="14"/>
      <c r="AD14" t="s">
        <v>0</v>
      </c>
      <c r="AH14" s="13" t="s">
        <v>0</v>
      </c>
      <c r="AJ14" s="5"/>
      <c r="AL14" s="33">
        <v>27</v>
      </c>
      <c r="AM14" s="34"/>
      <c r="AN14" s="34"/>
      <c r="AO14" s="34"/>
      <c r="AP14" s="34"/>
      <c r="AQ14" s="36" t="e">
        <f t="shared" si="2"/>
        <v>#DIV/0!</v>
      </c>
      <c r="AR14" s="36" t="e">
        <f t="shared" si="3"/>
        <v>#DIV/0!</v>
      </c>
      <c r="AS14" s="13"/>
    </row>
    <row r="15" spans="1:51" x14ac:dyDescent="0.2">
      <c r="A15" t="s">
        <v>1</v>
      </c>
      <c r="B15">
        <f>SUM(SkottSpelare!AU12,SkottSpelare!AU27,SkottSpelare!AU42,SkottSpelare!AU57,SkottSpelare!AU72,SkottSpelare!AU87,SkottSpelare!AU102,SkottSpelare!AU117,SkottSpelare!AU132,SkottSpelare!AU147,SkottSpelare!AU162,SkottSpelare!AU177,SkottSpelare!AU192,SkottSpelare!AU207,SkottSpelare!AU222,SkottSpelare!AU237,SkottSpelare!AU252,SkottSpelare!AU267,SkottSpelare!AU282,SkottSpelare!AU297,SkottSpelare!AU312,SkottSpelare!AU327,SkottSpelare!AU342,SkottSpelare!AU357,SkottSpelare!AU372,SkottSpelare!AU387,SkottSpelare!AU402,SkottSpelare!AU417,SkottSpelare!AU432,SkottSpelare!AU447,SkottSpelare!AU462,SkottSpelare!AU477)</f>
        <v>0</v>
      </c>
      <c r="C15" s="14"/>
      <c r="E15" t="s">
        <v>1</v>
      </c>
      <c r="F15">
        <f>SUM(SkottSpelare!AV12,SkottSpelare!AV27,SkottSpelare!AV42,SkottSpelare!AV57,SkottSpelare!AV72,SkottSpelare!AV87,SkottSpelare!AV102,SkottSpelare!AV117,SkottSpelare!AV132,SkottSpelare!AV147,SkottSpelare!AV162,SkottSpelare!AV177,SkottSpelare!AV192,SkottSpelare!AV207,SkottSpelare!AV222,SkottSpelare!AV237,SkottSpelare!AV252,SkottSpelare!AV267,SkottSpelare!AV282,SkottSpelare!AV297,SkottSpelare!AV312,SkottSpelare!AV327,SkottSpelare!AV342,SkottSpelare!AV357,SkottSpelare!AV372,SkottSpelare!AV387,SkottSpelare!AV402,SkottSpelare!AV417,SkottSpelare!AV432,SkottSpelare!AV447,SkottSpelare!AV462,SkottSpelare!AV477)</f>
        <v>0</v>
      </c>
      <c r="H15" s="14"/>
      <c r="J15" t="s">
        <v>1</v>
      </c>
      <c r="K15">
        <f>SUM(SkottSpelare!AZ12,SkottSpelare!AZ27,SkottSpelare!AZ42,SkottSpelare!AZ57,SkottSpelare!AZ72,SkottSpelare!AZ87,SkottSpelare!AZ102,SkottSpelare!AZ117,SkottSpelare!AZ132,SkottSpelare!AZ147,SkottSpelare!AZ162,SkottSpelare!AZ177,SkottSpelare!AZ192,SkottSpelare!AZ207,SkottSpelare!AZ222,SkottSpelare!AZ237,SkottSpelare!AZ252,SkottSpelare!AZ267,SkottSpelare!AZ282,SkottSpelare!AZ297,SkottSpelare!AZ312,SkottSpelare!AZ327,SkottSpelare!AZ342,SkottSpelare!AZ357,SkottSpelare!AZ372,SkottSpelare!AZ387,SkottSpelare!AZ402,SkottSpelare!AZ417,SkottSpelare!AZ432,SkottSpelare!AZ447,SkottSpelare!AZ462,SkottSpelare!AZ477)</f>
        <v>0</v>
      </c>
      <c r="N15" s="13" t="s">
        <v>1</v>
      </c>
      <c r="O15" s="72">
        <f>SUM(SkottSpelare!BD12,SkottSpelare!BD27,SkottSpelare!BD42,SkottSpelare!BD57,SkottSpelare!BD72,SkottSpelare!BD87,SkottSpelare!BD102,SkottSpelare!BD117,SkottSpelare!BD132,SkottSpelare!BD147,SkottSpelare!BD162,SkottSpelare!BD177,SkottSpelare!BD192,SkottSpelare!BD207,SkottSpelare!BD222,SkottSpelare!BD237,SkottSpelare!BD252,SkottSpelare!BD267,SkottSpelare!BD282,SkottSpelare!BD297,SkottSpelare!BD312,SkottSpelare!BD327,SkottSpelare!BD342,SkottSpelare!BD357,SkottSpelare!BD372,SkottSpelare!BD387,SkottSpelare!BD402,SkottSpelare!BD417,SkottSpelare!BD432,SkottSpelare!BD447,SkottSpelare!BD462,SkottSpelare!BD477)</f>
        <v>0</v>
      </c>
      <c r="P15" s="5"/>
      <c r="U15" s="4" t="s">
        <v>1</v>
      </c>
      <c r="W15" s="14"/>
      <c r="Y15" t="s">
        <v>1</v>
      </c>
      <c r="AB15" s="14"/>
      <c r="AD15" t="s">
        <v>1</v>
      </c>
      <c r="AH15" s="13" t="s">
        <v>1</v>
      </c>
      <c r="AJ15" s="5"/>
      <c r="AL15" s="33">
        <v>28</v>
      </c>
      <c r="AM15" s="34"/>
      <c r="AN15" s="34"/>
      <c r="AO15" s="34"/>
      <c r="AP15" s="34"/>
      <c r="AQ15" s="36" t="e">
        <f t="shared" si="2"/>
        <v>#DIV/0!</v>
      </c>
      <c r="AR15" s="36" t="e">
        <f t="shared" si="3"/>
        <v>#DIV/0!</v>
      </c>
      <c r="AS15" s="13"/>
    </row>
    <row r="16" spans="1:51" x14ac:dyDescent="0.2">
      <c r="A16" t="s">
        <v>2</v>
      </c>
      <c r="B16">
        <f>SUM(SkottSpelare!AU13,SkottSpelare!AU28,SkottSpelare!AU43,SkottSpelare!AU58,SkottSpelare!AU73,SkottSpelare!AU88,SkottSpelare!AU103,SkottSpelare!AU118,SkottSpelare!AU133,SkottSpelare!AU148,SkottSpelare!AU163,SkottSpelare!AU178,SkottSpelare!AU193,SkottSpelare!AU208,SkottSpelare!AU223,SkottSpelare!AU238,SkottSpelare!AU253,SkottSpelare!AU268,SkottSpelare!AU283,SkottSpelare!AU298,SkottSpelare!AU313,SkottSpelare!AU328,SkottSpelare!AU343,SkottSpelare!AU358,SkottSpelare!AU373,SkottSpelare!AU388,SkottSpelare!AU403,SkottSpelare!AU418,SkottSpelare!AU433,SkottSpelare!AU448,SkottSpelare!AU463,SkottSpelare!AU478)</f>
        <v>0</v>
      </c>
      <c r="C16" s="14"/>
      <c r="E16" t="s">
        <v>2</v>
      </c>
      <c r="F16">
        <f>SUM(SkottSpelare!AV13,SkottSpelare!AV28,SkottSpelare!AV43,SkottSpelare!AV58,SkottSpelare!AV73,SkottSpelare!AV88,SkottSpelare!AV103,SkottSpelare!AV118,SkottSpelare!AV133,SkottSpelare!AV148,SkottSpelare!AV163,SkottSpelare!AV178,SkottSpelare!AV193,SkottSpelare!AV208,SkottSpelare!AV223,SkottSpelare!AV238,SkottSpelare!AV253,SkottSpelare!AV268,SkottSpelare!AV283,SkottSpelare!AV298,SkottSpelare!AV313,SkottSpelare!AV328,SkottSpelare!AV343,SkottSpelare!AV358,SkottSpelare!AV373,SkottSpelare!AV388,SkottSpelare!AV403,SkottSpelare!AV418,SkottSpelare!AV433,SkottSpelare!AV448,SkottSpelare!AV463,SkottSpelare!AV478)</f>
        <v>0</v>
      </c>
      <c r="H16" s="14"/>
      <c r="J16" t="s">
        <v>2</v>
      </c>
      <c r="K16">
        <f>SUM(SkottSpelare!AZ13,SkottSpelare!AZ28,SkottSpelare!AZ43,SkottSpelare!AZ58,SkottSpelare!AZ73,SkottSpelare!AZ88,SkottSpelare!AZ103,SkottSpelare!AZ118,SkottSpelare!AZ133,SkottSpelare!AZ148,SkottSpelare!AZ163,SkottSpelare!AZ178,SkottSpelare!AZ193,SkottSpelare!AZ208,SkottSpelare!AZ223,SkottSpelare!AZ238,SkottSpelare!AZ253,SkottSpelare!AZ268,SkottSpelare!AZ283,SkottSpelare!AZ298,SkottSpelare!AZ313,SkottSpelare!AZ328,SkottSpelare!AZ343,SkottSpelare!AZ358,SkottSpelare!AZ373,SkottSpelare!AZ388,SkottSpelare!AZ403,SkottSpelare!AZ418,SkottSpelare!AZ433,SkottSpelare!AZ448,SkottSpelare!AZ463,SkottSpelare!AZ478)</f>
        <v>0</v>
      </c>
      <c r="N16" s="13" t="s">
        <v>2</v>
      </c>
      <c r="O16" s="72">
        <f>SUM(SkottSpelare!BD13,SkottSpelare!BD28,SkottSpelare!BD43,SkottSpelare!BD58,SkottSpelare!BD73,SkottSpelare!BD88,SkottSpelare!BD103,SkottSpelare!BD118,SkottSpelare!BD133,SkottSpelare!BD148,SkottSpelare!BD163,SkottSpelare!BD178,SkottSpelare!BD193,SkottSpelare!BD208,SkottSpelare!BD223,SkottSpelare!BD238,SkottSpelare!BD253,SkottSpelare!BD268,SkottSpelare!BD283,SkottSpelare!BD298,SkottSpelare!BD313,SkottSpelare!BD328,SkottSpelare!BD343,SkottSpelare!BD358,SkottSpelare!BD373,SkottSpelare!BD388,SkottSpelare!BD403,SkottSpelare!BD418,SkottSpelare!BD433,SkottSpelare!BD448,SkottSpelare!BD463,SkottSpelare!BD478)</f>
        <v>0</v>
      </c>
      <c r="P16" s="5"/>
      <c r="U16" s="4" t="s">
        <v>2</v>
      </c>
      <c r="W16" s="14"/>
      <c r="Y16" t="s">
        <v>2</v>
      </c>
      <c r="AB16" s="14"/>
      <c r="AD16" t="s">
        <v>2</v>
      </c>
      <c r="AH16" s="13" t="s">
        <v>2</v>
      </c>
      <c r="AJ16" s="5"/>
      <c r="AL16" s="33">
        <v>20</v>
      </c>
      <c r="AM16" s="34"/>
      <c r="AN16" s="34"/>
      <c r="AO16" s="34"/>
      <c r="AP16" s="34"/>
      <c r="AQ16" s="36" t="e">
        <f t="shared" si="2"/>
        <v>#DIV/0!</v>
      </c>
      <c r="AR16" s="36" t="e">
        <f t="shared" si="3"/>
        <v>#DIV/0!</v>
      </c>
      <c r="AS16" s="13"/>
    </row>
    <row r="17" spans="1:46" x14ac:dyDescent="0.2">
      <c r="A17" t="s">
        <v>3</v>
      </c>
      <c r="B17">
        <f>SUM(SkottSpelare!AU14,SkottSpelare!AU29,SkottSpelare!AU44,SkottSpelare!AU59,SkottSpelare!AU74,SkottSpelare!AU89,SkottSpelare!AU104,SkottSpelare!AU119,SkottSpelare!AU134,SkottSpelare!AU149,SkottSpelare!AU164,SkottSpelare!AU179,SkottSpelare!AU194,SkottSpelare!AU209,SkottSpelare!AU224,SkottSpelare!AU239,SkottSpelare!AU254,SkottSpelare!AU269,SkottSpelare!AU284,SkottSpelare!AU299,SkottSpelare!AU314,SkottSpelare!AU329,SkottSpelare!AU344,SkottSpelare!AU359,SkottSpelare!AU374,SkottSpelare!AU389,SkottSpelare!AU404,SkottSpelare!AU419,SkottSpelare!AU434,SkottSpelare!AU449,SkottSpelare!AU464,SkottSpelare!AU479)</f>
        <v>0</v>
      </c>
      <c r="C17" s="14"/>
      <c r="E17" t="s">
        <v>3</v>
      </c>
      <c r="F17">
        <f>SUM(SkottSpelare!AV14,SkottSpelare!AV29,SkottSpelare!AV44,SkottSpelare!AV59,SkottSpelare!AV74,SkottSpelare!AV89,SkottSpelare!AV104,SkottSpelare!AV119,SkottSpelare!AV134,SkottSpelare!AV149,SkottSpelare!AV164,SkottSpelare!AV179,SkottSpelare!AV194,SkottSpelare!AV209,SkottSpelare!AV224,SkottSpelare!AV239,SkottSpelare!AV254,SkottSpelare!AV269,SkottSpelare!AV284,SkottSpelare!AV299,SkottSpelare!AV314,SkottSpelare!AV329,SkottSpelare!AV344,SkottSpelare!AV359,SkottSpelare!AV374,SkottSpelare!AV389,SkottSpelare!AV404,SkottSpelare!AV419,SkottSpelare!AV434,SkottSpelare!AV449,SkottSpelare!AV464,SkottSpelare!AV479)</f>
        <v>0</v>
      </c>
      <c r="H17" s="14"/>
      <c r="J17" t="s">
        <v>3</v>
      </c>
      <c r="K17">
        <f>SUM(SkottSpelare!AZ14,SkottSpelare!AZ29,SkottSpelare!AZ44,SkottSpelare!AZ59,SkottSpelare!AZ74,SkottSpelare!AZ89,SkottSpelare!AZ104,SkottSpelare!AZ119,SkottSpelare!AZ134,SkottSpelare!AZ149,SkottSpelare!AZ164,SkottSpelare!AZ179,SkottSpelare!AZ194,SkottSpelare!AZ209,SkottSpelare!AZ224,SkottSpelare!AZ239,SkottSpelare!AZ254,SkottSpelare!AZ269,SkottSpelare!AZ284,SkottSpelare!AZ299,SkottSpelare!AZ314,SkottSpelare!AZ329,SkottSpelare!AZ344,SkottSpelare!AZ359,SkottSpelare!AZ374,SkottSpelare!AZ389,SkottSpelare!AZ404,SkottSpelare!AZ419,SkottSpelare!AZ434,SkottSpelare!AZ449,SkottSpelare!AZ464,SkottSpelare!AZ479)</f>
        <v>0</v>
      </c>
      <c r="N17" s="13" t="s">
        <v>3</v>
      </c>
      <c r="O17" s="72">
        <f>SUM(SkottSpelare!BD14,SkottSpelare!BD29,SkottSpelare!BD44,SkottSpelare!BD59,SkottSpelare!BD74,SkottSpelare!BD89,SkottSpelare!BD104,SkottSpelare!BD119,SkottSpelare!BD134,SkottSpelare!BD149,SkottSpelare!BD164,SkottSpelare!BD179,SkottSpelare!BD194,SkottSpelare!BD209,SkottSpelare!BD224,SkottSpelare!BD239,SkottSpelare!BD254,SkottSpelare!BD269,SkottSpelare!BD284,SkottSpelare!BD299,SkottSpelare!BD314,SkottSpelare!BD329,SkottSpelare!BD344,SkottSpelare!BD359,SkottSpelare!BD374,SkottSpelare!BD389,SkottSpelare!BD404,SkottSpelare!BD419,SkottSpelare!BD434,SkottSpelare!BD449,SkottSpelare!BD464,SkottSpelare!BD479)</f>
        <v>0</v>
      </c>
      <c r="P17" s="5"/>
      <c r="U17" s="4" t="s">
        <v>3</v>
      </c>
      <c r="W17" s="14"/>
      <c r="Y17" t="s">
        <v>3</v>
      </c>
      <c r="AB17" s="14"/>
      <c r="AD17" t="s">
        <v>3</v>
      </c>
      <c r="AH17" s="13" t="s">
        <v>3</v>
      </c>
      <c r="AJ17" s="5"/>
      <c r="AL17" s="33">
        <v>21</v>
      </c>
      <c r="AM17" s="34"/>
      <c r="AN17" s="34"/>
      <c r="AO17" s="34"/>
      <c r="AP17" s="34"/>
      <c r="AQ17" s="36" t="e">
        <f t="shared" si="2"/>
        <v>#DIV/0!</v>
      </c>
      <c r="AR17" s="36" t="e">
        <f t="shared" si="3"/>
        <v>#DIV/0!</v>
      </c>
      <c r="AS17" s="13"/>
    </row>
    <row r="18" spans="1:46" x14ac:dyDescent="0.2">
      <c r="A18" s="4"/>
      <c r="C18" s="14"/>
      <c r="H18" s="14"/>
      <c r="N18" s="13"/>
      <c r="P18" s="5"/>
      <c r="U18" s="4"/>
      <c r="W18" s="14"/>
      <c r="AB18" s="14"/>
      <c r="AH18" s="13"/>
      <c r="AJ18" s="5"/>
      <c r="AL18" s="33">
        <v>39</v>
      </c>
      <c r="AM18" s="34"/>
      <c r="AN18" s="34"/>
      <c r="AO18" s="34"/>
      <c r="AP18" s="34"/>
      <c r="AQ18" s="36" t="e">
        <f t="shared" si="2"/>
        <v>#DIV/0!</v>
      </c>
      <c r="AR18" s="36" t="e">
        <f t="shared" si="3"/>
        <v>#DIV/0!</v>
      </c>
      <c r="AS18" s="13"/>
    </row>
    <row r="19" spans="1:46" ht="17" thickBot="1" x14ac:dyDescent="0.25">
      <c r="A19" s="6"/>
      <c r="B19" s="7"/>
      <c r="C19" s="24"/>
      <c r="D19" s="7"/>
      <c r="E19" s="7"/>
      <c r="F19" s="7"/>
      <c r="G19" s="7"/>
      <c r="H19" s="24"/>
      <c r="I19" s="7"/>
      <c r="J19" s="7"/>
      <c r="K19" s="7"/>
      <c r="L19" s="7"/>
      <c r="M19" s="7"/>
      <c r="N19" s="25"/>
      <c r="O19" s="7"/>
      <c r="P19" s="8"/>
      <c r="U19" s="6"/>
      <c r="V19" s="7"/>
      <c r="W19" s="24"/>
      <c r="X19" s="7"/>
      <c r="Y19" s="7"/>
      <c r="Z19" s="7"/>
      <c r="AA19" s="7"/>
      <c r="AB19" s="24"/>
      <c r="AC19" s="7"/>
      <c r="AD19" s="7"/>
      <c r="AE19" s="7"/>
      <c r="AF19" s="7"/>
      <c r="AG19" s="7"/>
      <c r="AH19" s="25"/>
      <c r="AI19" s="7"/>
      <c r="AJ19" s="8"/>
      <c r="AL19" s="33">
        <v>40</v>
      </c>
      <c r="AM19" s="34"/>
      <c r="AN19" s="34"/>
      <c r="AO19" s="34"/>
      <c r="AP19" s="34"/>
      <c r="AQ19" s="36" t="e">
        <f t="shared" si="2"/>
        <v>#DIV/0!</v>
      </c>
      <c r="AR19" s="36" t="e">
        <f t="shared" si="3"/>
        <v>#DIV/0!</v>
      </c>
      <c r="AS19" s="13"/>
    </row>
    <row r="20" spans="1:46" x14ac:dyDescent="0.2">
      <c r="AL20" s="33">
        <v>41</v>
      </c>
      <c r="AM20" s="34"/>
      <c r="AN20" s="34"/>
      <c r="AO20" s="34"/>
      <c r="AP20" s="34"/>
      <c r="AQ20" s="36" t="e">
        <f t="shared" si="2"/>
        <v>#DIV/0!</v>
      </c>
      <c r="AR20" s="36" t="e">
        <f t="shared" si="3"/>
        <v>#DIV/0!</v>
      </c>
      <c r="AS20" s="13"/>
    </row>
    <row r="21" spans="1:46" x14ac:dyDescent="0.2">
      <c r="A21" s="27" t="s">
        <v>6</v>
      </c>
      <c r="B21" s="27"/>
      <c r="D21" t="s">
        <v>7</v>
      </c>
      <c r="E21" s="123" t="s">
        <v>8</v>
      </c>
      <c r="F21" s="123"/>
      <c r="G21" s="123"/>
      <c r="H21" t="s">
        <v>7</v>
      </c>
      <c r="J21" s="124"/>
      <c r="K21" s="124"/>
      <c r="L21" s="124"/>
      <c r="M21" s="124"/>
      <c r="AL21" s="33">
        <v>52</v>
      </c>
      <c r="AS21" s="13"/>
    </row>
    <row r="22" spans="1:46" x14ac:dyDescent="0.2">
      <c r="A22" s="17" t="s">
        <v>9</v>
      </c>
      <c r="B22" s="17"/>
      <c r="C22" s="18">
        <f>SUM(B4,B9,G9,I4,O4,O14,K14,F14,B14,O9)</f>
        <v>0</v>
      </c>
      <c r="D22" s="17"/>
      <c r="E22" s="17" t="s">
        <v>9</v>
      </c>
      <c r="F22" s="17"/>
      <c r="G22" s="18">
        <f>SUM(V4,V9,V14,Z14,AA9,AC4,AE14,AI14,AI9,AI4)</f>
        <v>0</v>
      </c>
      <c r="H22" s="17"/>
      <c r="J22" s="125" t="s">
        <v>19</v>
      </c>
      <c r="K22" s="125"/>
      <c r="L22" s="125"/>
      <c r="M22" s="125"/>
      <c r="N22" s="125"/>
      <c r="O22" s="125"/>
      <c r="T22" s="27" t="s">
        <v>28</v>
      </c>
      <c r="AL22" s="33">
        <v>96</v>
      </c>
      <c r="AM22" s="34"/>
      <c r="AN22" s="34"/>
      <c r="AO22" s="34"/>
      <c r="AP22" s="34"/>
      <c r="AQ22" s="36" t="e">
        <f>SUM(AM22/(AM22+AN22+AO22))</f>
        <v>#DIV/0!</v>
      </c>
      <c r="AR22" s="36" t="e">
        <f>SUM(AP22/(AO22+AN22+AM22))</f>
        <v>#DIV/0!</v>
      </c>
      <c r="AS22" s="13"/>
    </row>
    <row r="23" spans="1:46" x14ac:dyDescent="0.2">
      <c r="A23" s="28" t="s">
        <v>10</v>
      </c>
      <c r="B23" s="28"/>
      <c r="C23" s="18">
        <f>SUM(B5,B10,B15,G10,F15,I5,K15,O15,O10,O5)</f>
        <v>0</v>
      </c>
      <c r="D23" s="28"/>
      <c r="E23" s="28" t="s">
        <v>10</v>
      </c>
      <c r="F23" s="28"/>
      <c r="G23" s="18">
        <f>SUM(V5,V10,V15,AA10,AC5,Z15,AE15,AI5,AI10,AI15)</f>
        <v>0</v>
      </c>
      <c r="H23" s="28"/>
      <c r="J23" s="98" t="s">
        <v>20</v>
      </c>
      <c r="K23" s="99"/>
      <c r="L23" s="98" t="s">
        <v>21</v>
      </c>
      <c r="M23" s="99"/>
      <c r="N23" s="128" t="s">
        <v>22</v>
      </c>
      <c r="O23" s="129"/>
      <c r="T23" s="15" t="s">
        <v>29</v>
      </c>
      <c r="U23" s="16" t="s">
        <v>7</v>
      </c>
      <c r="V23" s="98" t="s">
        <v>15</v>
      </c>
      <c r="W23" s="99"/>
      <c r="X23" s="98" t="s">
        <v>16</v>
      </c>
      <c r="Y23" s="99"/>
      <c r="AL23" s="33">
        <v>43</v>
      </c>
      <c r="AM23" s="34"/>
      <c r="AN23" s="34"/>
      <c r="AO23" s="34"/>
      <c r="AP23" s="34"/>
      <c r="AQ23" s="36" t="e">
        <f>SUM(AM23/(AM23+AN23+AO23))</f>
        <v>#DIV/0!</v>
      </c>
      <c r="AR23" s="36" t="e">
        <f>SUM(AP23/(AO23+AN23+AM23))</f>
        <v>#DIV/0!</v>
      </c>
      <c r="AS23" s="13"/>
    </row>
    <row r="24" spans="1:46" x14ac:dyDescent="0.2">
      <c r="A24" s="28" t="s">
        <v>11</v>
      </c>
      <c r="B24" s="28"/>
      <c r="C24" s="18">
        <f>SUM(B11,B6,B16,O6,I6,G11,F16,K16,O16,O11)</f>
        <v>0</v>
      </c>
      <c r="D24" s="28"/>
      <c r="E24" s="28" t="s">
        <v>11</v>
      </c>
      <c r="F24" s="28"/>
      <c r="G24" s="18">
        <f>SUM(V6,V11,V16,AA11,AC6,Z16,AE16,AI6,AI11,AI16)</f>
        <v>0</v>
      </c>
      <c r="H24" s="28"/>
      <c r="J24" s="9" t="s">
        <v>27</v>
      </c>
      <c r="K24" s="20"/>
      <c r="L24" s="9"/>
      <c r="M24" s="20"/>
      <c r="N24" s="9"/>
      <c r="O24" s="10"/>
      <c r="T24" s="100"/>
      <c r="U24" s="101"/>
      <c r="V24" s="100"/>
      <c r="W24" s="101"/>
      <c r="X24" s="100"/>
      <c r="Y24" s="101"/>
      <c r="AL24" s="33">
        <v>97</v>
      </c>
      <c r="AS24" s="13"/>
    </row>
    <row r="25" spans="1:46" x14ac:dyDescent="0.2">
      <c r="A25" s="17" t="s">
        <v>12</v>
      </c>
      <c r="B25" s="17"/>
      <c r="C25" s="18">
        <f>SUM(B17,B12,B7,I7,G12,F17,K17,O17,O12,O7)</f>
        <v>0</v>
      </c>
      <c r="D25" s="28"/>
      <c r="E25" s="28" t="s">
        <v>12</v>
      </c>
      <c r="F25" s="28"/>
      <c r="G25" s="18">
        <f>SUM(,V7,V12,V17,Z17,AA12,AC7,AE17,AI7,AI12,AI17)</f>
        <v>0</v>
      </c>
      <c r="H25" s="28"/>
      <c r="J25" s="13" t="s">
        <v>16</v>
      </c>
      <c r="L25" s="13" t="s">
        <v>16</v>
      </c>
      <c r="N25" s="13" t="s">
        <v>16</v>
      </c>
      <c r="O25" s="14"/>
      <c r="T25" s="102"/>
      <c r="U25" s="103"/>
      <c r="V25" s="102"/>
      <c r="W25" s="103"/>
      <c r="X25" s="102"/>
      <c r="Y25" s="103"/>
      <c r="AL25" s="87" t="s">
        <v>54</v>
      </c>
      <c r="AM25" s="34"/>
      <c r="AN25" s="34"/>
      <c r="AO25" s="34"/>
      <c r="AP25" s="34"/>
      <c r="AQ25" s="36" t="e">
        <f>SUM(AM25/(AM25+AN25+AO25))</f>
        <v>#DIV/0!</v>
      </c>
      <c r="AR25" s="36" t="e">
        <f>SUM(AP25/(AO25+AN25+AM25))</f>
        <v>#DIV/0!</v>
      </c>
    </row>
    <row r="26" spans="1:46" x14ac:dyDescent="0.2">
      <c r="C26" s="18"/>
      <c r="G26" s="18"/>
      <c r="J26" s="11"/>
      <c r="K26" s="17"/>
      <c r="L26" s="11"/>
      <c r="M26" s="17"/>
      <c r="N26" s="11"/>
      <c r="O26" s="12"/>
      <c r="T26" s="102"/>
      <c r="U26" s="103"/>
      <c r="V26" s="102"/>
      <c r="W26" s="103"/>
      <c r="X26" s="102"/>
      <c r="Y26" s="103"/>
      <c r="AL26" s="87" t="s">
        <v>54</v>
      </c>
      <c r="AM26" s="34"/>
      <c r="AN26" s="34"/>
      <c r="AO26" s="34"/>
      <c r="AP26" s="34"/>
      <c r="AQ26" s="36" t="e">
        <f>SUM(AM26/(AM26+AN26+AO26))</f>
        <v>#DIV/0!</v>
      </c>
      <c r="AR26" s="36" t="e">
        <f>SUM(AP26/(AO26+AN26+AM26))</f>
        <v>#DIV/0!</v>
      </c>
    </row>
    <row r="27" spans="1:46" x14ac:dyDescent="0.2">
      <c r="A27" s="98" t="s">
        <v>13</v>
      </c>
      <c r="B27" s="126"/>
      <c r="C27" s="126"/>
      <c r="D27" s="99"/>
      <c r="E27" s="98" t="s">
        <v>14</v>
      </c>
      <c r="F27" s="126"/>
      <c r="G27" s="126"/>
      <c r="H27" s="99"/>
      <c r="T27" s="104"/>
      <c r="U27" s="105"/>
      <c r="V27" s="104"/>
      <c r="W27" s="105"/>
      <c r="X27" s="104"/>
      <c r="Y27" s="105"/>
      <c r="AL27" s="87" t="s">
        <v>54</v>
      </c>
      <c r="AM27" s="34"/>
      <c r="AN27" s="34"/>
      <c r="AO27" s="34"/>
      <c r="AP27" s="34"/>
      <c r="AQ27" s="36" t="e">
        <f>SUM(AM27/(AM27+AN27+AO27))</f>
        <v>#DIV/0!</v>
      </c>
      <c r="AR27" s="36" t="e">
        <f>SUM(AP27/(AO27+AN27+AM27))</f>
        <v>#DIV/0!</v>
      </c>
    </row>
    <row r="28" spans="1:46" x14ac:dyDescent="0.2">
      <c r="A28" s="98" t="s">
        <v>15</v>
      </c>
      <c r="B28" s="99"/>
      <c r="C28" s="98" t="s">
        <v>16</v>
      </c>
      <c r="D28" s="99"/>
      <c r="E28" s="29" t="s">
        <v>17</v>
      </c>
      <c r="F28" s="28"/>
      <c r="G28" s="29" t="s">
        <v>18</v>
      </c>
      <c r="H28" s="16"/>
      <c r="J28" s="118" t="s">
        <v>23</v>
      </c>
      <c r="K28" s="127"/>
      <c r="L28" s="106" t="s">
        <v>24</v>
      </c>
      <c r="M28" s="108"/>
      <c r="N28" s="106" t="s">
        <v>25</v>
      </c>
      <c r="O28" s="108"/>
      <c r="P28" s="30" t="s">
        <v>26</v>
      </c>
      <c r="AL28" s="87" t="s">
        <v>54</v>
      </c>
      <c r="AM28" s="34"/>
      <c r="AN28" s="34"/>
      <c r="AO28" s="34"/>
      <c r="AP28" s="34"/>
      <c r="AQ28" s="36" t="e">
        <f>SUM(AM28/(AM28+AN28+AO28))</f>
        <v>#DIV/0!</v>
      </c>
      <c r="AR28" s="36" t="e">
        <f>SUM(AP28/(AO28+AN28+AM28))</f>
        <v>#DIV/0!</v>
      </c>
      <c r="AS28" s="34"/>
      <c r="AT28" s="34"/>
    </row>
    <row r="29" spans="1:46" x14ac:dyDescent="0.2">
      <c r="A29" s="13"/>
      <c r="B29" s="14"/>
      <c r="C29" s="9"/>
      <c r="D29" s="20"/>
      <c r="E29" s="9"/>
      <c r="F29" s="20"/>
      <c r="G29" s="9"/>
      <c r="H29" s="10"/>
      <c r="J29" s="15">
        <f>SUM(G22)</f>
        <v>0</v>
      </c>
      <c r="K29" s="16"/>
      <c r="L29" s="15">
        <f>SUM(G22-G25)</f>
        <v>0</v>
      </c>
      <c r="M29" s="16"/>
      <c r="N29" s="15">
        <f>SUM(G25)</f>
        <v>0</v>
      </c>
      <c r="O29" s="16"/>
      <c r="P29" s="121" t="e">
        <f>SUM(L29/J29)</f>
        <v>#DIV/0!</v>
      </c>
      <c r="Q29" s="120"/>
      <c r="T29" s="27" t="s">
        <v>142</v>
      </c>
      <c r="AL29" s="44"/>
    </row>
    <row r="30" spans="1:46" x14ac:dyDescent="0.2">
      <c r="A30" s="13"/>
      <c r="B30" s="14"/>
      <c r="C30" s="13"/>
      <c r="E30" s="13"/>
      <c r="G30" s="13"/>
      <c r="H30" s="14"/>
      <c r="T30" s="15" t="s">
        <v>29</v>
      </c>
      <c r="U30" s="16" t="s">
        <v>7</v>
      </c>
      <c r="V30" s="98" t="s">
        <v>15</v>
      </c>
      <c r="W30" s="99"/>
      <c r="X30" s="98" t="s">
        <v>16</v>
      </c>
      <c r="Y30" s="99"/>
      <c r="AL30" s="44"/>
    </row>
    <row r="31" spans="1:46" x14ac:dyDescent="0.2">
      <c r="A31" s="13"/>
      <c r="B31" s="14"/>
      <c r="C31" s="13"/>
      <c r="E31" s="13"/>
      <c r="G31" s="13"/>
      <c r="H31" s="14"/>
      <c r="J31" s="106" t="s">
        <v>60</v>
      </c>
      <c r="K31" s="107"/>
      <c r="L31" s="108"/>
      <c r="M31" s="15" t="s">
        <v>62</v>
      </c>
      <c r="N31" s="84"/>
      <c r="O31" s="10"/>
      <c r="T31" s="100"/>
      <c r="U31" s="101"/>
      <c r="V31" s="100"/>
      <c r="W31" s="101"/>
      <c r="X31" s="100"/>
      <c r="Y31" s="101"/>
      <c r="AL31" s="44"/>
    </row>
    <row r="32" spans="1:46" x14ac:dyDescent="0.2">
      <c r="A32" s="13"/>
      <c r="B32" s="14"/>
      <c r="C32" s="13"/>
      <c r="E32" s="13"/>
      <c r="G32" s="13"/>
      <c r="H32" s="14"/>
      <c r="J32" s="13"/>
      <c r="K32" s="111">
        <f>N31/20</f>
        <v>0</v>
      </c>
      <c r="L32" s="112"/>
      <c r="M32" s="112">
        <f>1-K32</f>
        <v>1</v>
      </c>
      <c r="N32" s="115"/>
      <c r="O32" s="14"/>
      <c r="T32" s="102"/>
      <c r="U32" s="103"/>
      <c r="V32" s="102"/>
      <c r="W32" s="103"/>
      <c r="X32" s="102"/>
      <c r="Y32" s="103"/>
      <c r="AL32" s="44"/>
    </row>
    <row r="33" spans="1:38" x14ac:dyDescent="0.2">
      <c r="A33" s="11"/>
      <c r="B33" s="12"/>
      <c r="C33" s="11"/>
      <c r="D33" s="17"/>
      <c r="E33" s="11"/>
      <c r="F33" s="17"/>
      <c r="G33" s="11"/>
      <c r="H33" s="12"/>
      <c r="J33" s="11"/>
      <c r="K33" s="113"/>
      <c r="L33" s="114"/>
      <c r="M33" s="114"/>
      <c r="N33" s="116"/>
      <c r="O33" s="12"/>
      <c r="T33" s="102"/>
      <c r="U33" s="103"/>
      <c r="V33" s="102"/>
      <c r="W33" s="103"/>
      <c r="X33" s="102"/>
      <c r="Y33" s="103"/>
      <c r="AL33" s="44"/>
    </row>
    <row r="34" spans="1:38" x14ac:dyDescent="0.2">
      <c r="K34" s="117" t="s">
        <v>144</v>
      </c>
      <c r="L34" s="117"/>
      <c r="M34" s="117" t="s">
        <v>61</v>
      </c>
      <c r="N34" s="117"/>
      <c r="T34" s="104"/>
      <c r="U34" s="105"/>
      <c r="V34" s="104"/>
      <c r="W34" s="105"/>
      <c r="X34" s="104"/>
      <c r="Y34" s="105"/>
      <c r="AL34" s="44"/>
    </row>
  </sheetData>
  <sortState xmlns:xlrd2="http://schemas.microsoft.com/office/spreadsheetml/2017/richdata2" ref="AL2:AU28">
    <sortCondition ref="AL2:AL28"/>
  </sortState>
  <mergeCells count="31">
    <mergeCell ref="J31:L31"/>
    <mergeCell ref="K32:L33"/>
    <mergeCell ref="M32:N33"/>
    <mergeCell ref="K34:L34"/>
    <mergeCell ref="M34:N34"/>
    <mergeCell ref="P29:Q29"/>
    <mergeCell ref="N28:O28"/>
    <mergeCell ref="V23:W23"/>
    <mergeCell ref="X23:Y23"/>
    <mergeCell ref="V24:W27"/>
    <mergeCell ref="X24:Y27"/>
    <mergeCell ref="T24:U27"/>
    <mergeCell ref="A27:D27"/>
    <mergeCell ref="E27:H27"/>
    <mergeCell ref="A28:B28"/>
    <mergeCell ref="C28:D28"/>
    <mergeCell ref="J28:K28"/>
    <mergeCell ref="L28:M28"/>
    <mergeCell ref="G1:J1"/>
    <mergeCell ref="AA1:AD1"/>
    <mergeCell ref="E21:G21"/>
    <mergeCell ref="J21:M21"/>
    <mergeCell ref="J22:O22"/>
    <mergeCell ref="J23:K23"/>
    <mergeCell ref="L23:M23"/>
    <mergeCell ref="N23:O23"/>
    <mergeCell ref="V30:W30"/>
    <mergeCell ref="X30:Y30"/>
    <mergeCell ref="T31:U34"/>
    <mergeCell ref="V31:W34"/>
    <mergeCell ref="X31:Y34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42BC6-1F42-3E4A-B768-FD5C9B74B4C2}">
  <sheetPr codeName="Blad7"/>
  <dimension ref="C1:BD479"/>
  <sheetViews>
    <sheetView topLeftCell="A163" zoomScale="130" zoomScaleNormal="130" workbookViewId="0">
      <selection activeCell="BL189" sqref="BL189"/>
    </sheetView>
  </sheetViews>
  <sheetFormatPr baseColWidth="10" defaultColWidth="2" defaultRowHeight="12" customHeight="1" x14ac:dyDescent="0.2"/>
  <cols>
    <col min="3" max="14" width="2" customWidth="1"/>
    <col min="38" max="38" width="2" customWidth="1"/>
    <col min="48" max="48" width="3.1640625" bestFit="1" customWidth="1"/>
  </cols>
  <sheetData>
    <row r="1" spans="3:56" ht="12" customHeight="1" x14ac:dyDescent="0.2">
      <c r="C1" s="134" t="s">
        <v>133</v>
      </c>
      <c r="D1" s="134"/>
      <c r="E1" s="134"/>
      <c r="F1" s="134"/>
      <c r="G1" s="134"/>
      <c r="H1" s="37"/>
      <c r="I1" s="37"/>
      <c r="J1" s="37"/>
      <c r="K1" s="37"/>
      <c r="L1" s="37"/>
      <c r="M1" s="37"/>
      <c r="N1" s="37"/>
    </row>
    <row r="2" spans="3:56" ht="12" customHeight="1" x14ac:dyDescent="0.2">
      <c r="C2" s="135"/>
      <c r="D2" s="135"/>
      <c r="E2" s="135"/>
      <c r="F2" s="135"/>
      <c r="G2" s="135"/>
    </row>
    <row r="3" spans="3:56" ht="12" customHeight="1" thickBot="1" x14ac:dyDescent="0.25">
      <c r="C3" s="50"/>
      <c r="D3" s="40" t="s">
        <v>0</v>
      </c>
      <c r="E3" s="40"/>
      <c r="F3" s="51"/>
      <c r="G3" s="40"/>
      <c r="H3" s="40" t="s">
        <v>0</v>
      </c>
      <c r="I3" s="40"/>
      <c r="J3" s="51"/>
      <c r="K3" s="40"/>
      <c r="L3" s="40" t="s">
        <v>0</v>
      </c>
      <c r="M3" s="40"/>
      <c r="N3" s="52"/>
      <c r="O3" s="38"/>
      <c r="P3" s="38"/>
      <c r="Q3" s="50"/>
      <c r="R3" s="40" t="s">
        <v>0</v>
      </c>
      <c r="S3" s="40"/>
      <c r="T3" s="51"/>
      <c r="U3" s="40"/>
      <c r="V3" s="40" t="s">
        <v>0</v>
      </c>
      <c r="W3" s="40"/>
      <c r="X3" s="51"/>
      <c r="Y3" s="40"/>
      <c r="Z3" s="40" t="s">
        <v>0</v>
      </c>
      <c r="AA3" s="40"/>
      <c r="AB3" s="52"/>
      <c r="AC3" s="38"/>
      <c r="AD3" s="38"/>
      <c r="AE3" s="50"/>
      <c r="AF3" s="40" t="s">
        <v>0</v>
      </c>
      <c r="AG3" s="40"/>
      <c r="AH3" s="51"/>
      <c r="AI3" s="40"/>
      <c r="AJ3" s="40" t="s">
        <v>0</v>
      </c>
      <c r="AK3" s="40"/>
      <c r="AL3" s="51"/>
      <c r="AM3" s="74"/>
      <c r="AN3" s="40" t="s">
        <v>0</v>
      </c>
      <c r="AP3" s="40"/>
      <c r="AS3" s="50"/>
      <c r="AT3" s="40" t="s">
        <v>0</v>
      </c>
      <c r="AU3" s="40"/>
      <c r="AV3" s="51"/>
      <c r="AW3" s="40"/>
      <c r="AX3" s="40" t="s">
        <v>0</v>
      </c>
      <c r="AY3" s="40"/>
      <c r="AZ3" s="51"/>
      <c r="BA3" s="74"/>
      <c r="BB3" s="40"/>
      <c r="BC3" s="40" t="s">
        <v>0</v>
      </c>
      <c r="BD3" s="52"/>
    </row>
    <row r="4" spans="3:56" ht="12" customHeight="1" x14ac:dyDescent="0.2">
      <c r="C4" s="53"/>
      <c r="D4" s="38" t="s">
        <v>1</v>
      </c>
      <c r="E4" s="38"/>
      <c r="F4" s="54"/>
      <c r="G4" s="41"/>
      <c r="H4" s="41" t="s">
        <v>1</v>
      </c>
      <c r="I4" s="41"/>
      <c r="J4" s="55"/>
      <c r="K4" s="38"/>
      <c r="L4" s="38" t="s">
        <v>1</v>
      </c>
      <c r="M4" s="38"/>
      <c r="N4" s="56"/>
      <c r="O4" s="38"/>
      <c r="P4" s="38"/>
      <c r="Q4" s="53"/>
      <c r="R4" s="38" t="s">
        <v>1</v>
      </c>
      <c r="S4" s="38"/>
      <c r="T4" s="54"/>
      <c r="U4" s="41"/>
      <c r="V4" s="41" t="s">
        <v>1</v>
      </c>
      <c r="W4" s="41"/>
      <c r="X4" s="55"/>
      <c r="Y4" s="38"/>
      <c r="Z4" s="38" t="s">
        <v>1</v>
      </c>
      <c r="AA4" s="38"/>
      <c r="AB4" s="56"/>
      <c r="AC4" s="38"/>
      <c r="AD4" s="38"/>
      <c r="AE4" s="53"/>
      <c r="AF4" s="38" t="s">
        <v>1</v>
      </c>
      <c r="AG4" s="38"/>
      <c r="AH4" s="54"/>
      <c r="AI4" s="41"/>
      <c r="AJ4" s="41" t="s">
        <v>1</v>
      </c>
      <c r="AK4" s="41"/>
      <c r="AL4" s="55"/>
      <c r="AM4" s="73"/>
      <c r="AN4" s="38" t="s">
        <v>1</v>
      </c>
      <c r="AP4" s="38"/>
      <c r="AS4" s="53"/>
      <c r="AT4" s="38" t="s">
        <v>1</v>
      </c>
      <c r="AU4" s="38"/>
      <c r="AV4" s="54"/>
      <c r="AW4" s="41"/>
      <c r="AX4" s="41" t="s">
        <v>1</v>
      </c>
      <c r="AY4" s="41"/>
      <c r="AZ4" s="55"/>
      <c r="BA4" s="73"/>
      <c r="BB4" s="38"/>
      <c r="BC4" s="38" t="s">
        <v>1</v>
      </c>
      <c r="BD4" s="56"/>
    </row>
    <row r="5" spans="3:56" ht="12" customHeight="1" x14ac:dyDescent="0.2">
      <c r="C5" s="53"/>
      <c r="D5" s="38" t="s">
        <v>2</v>
      </c>
      <c r="E5" s="38"/>
      <c r="F5" s="54"/>
      <c r="G5" s="38"/>
      <c r="H5" s="38" t="s">
        <v>2</v>
      </c>
      <c r="I5" s="38"/>
      <c r="J5" s="54"/>
      <c r="K5" s="38"/>
      <c r="L5" s="38" t="s">
        <v>2</v>
      </c>
      <c r="M5" s="38"/>
      <c r="N5" s="56"/>
      <c r="O5" s="38"/>
      <c r="P5" s="38"/>
      <c r="Q5" s="53"/>
      <c r="R5" s="38" t="s">
        <v>2</v>
      </c>
      <c r="S5" s="38"/>
      <c r="T5" s="54"/>
      <c r="U5" s="38"/>
      <c r="V5" s="38" t="s">
        <v>2</v>
      </c>
      <c r="W5" s="38"/>
      <c r="X5" s="54"/>
      <c r="Y5" s="38"/>
      <c r="Z5" s="38" t="s">
        <v>2</v>
      </c>
      <c r="AA5" s="38"/>
      <c r="AB5" s="56"/>
      <c r="AC5" s="38"/>
      <c r="AD5" s="38"/>
      <c r="AE5" s="53"/>
      <c r="AF5" s="38" t="s">
        <v>2</v>
      </c>
      <c r="AG5" s="38"/>
      <c r="AH5" s="54"/>
      <c r="AI5" s="38"/>
      <c r="AJ5" s="38" t="s">
        <v>2</v>
      </c>
      <c r="AK5" s="38"/>
      <c r="AL5" s="54"/>
      <c r="AM5" s="73"/>
      <c r="AN5" s="38" t="s">
        <v>2</v>
      </c>
      <c r="AP5" s="38"/>
      <c r="AS5" s="53"/>
      <c r="AT5" s="38" t="s">
        <v>2</v>
      </c>
      <c r="AU5" s="38"/>
      <c r="AV5" s="54"/>
      <c r="AW5" s="38"/>
      <c r="AX5" s="38" t="s">
        <v>2</v>
      </c>
      <c r="AY5" s="38"/>
      <c r="AZ5" s="54"/>
      <c r="BA5" s="73"/>
      <c r="BB5" s="38"/>
      <c r="BC5" s="38" t="s">
        <v>2</v>
      </c>
      <c r="BD5" s="56"/>
    </row>
    <row r="6" spans="3:56" ht="12" customHeight="1" thickBot="1" x14ac:dyDescent="0.25">
      <c r="C6" s="53"/>
      <c r="D6" s="38" t="s">
        <v>3</v>
      </c>
      <c r="E6" s="38"/>
      <c r="F6" s="57"/>
      <c r="G6" s="42"/>
      <c r="H6" s="42" t="s">
        <v>3</v>
      </c>
      <c r="I6" s="42"/>
      <c r="J6" s="58"/>
      <c r="K6" s="38"/>
      <c r="L6" s="38" t="s">
        <v>3</v>
      </c>
      <c r="M6" s="38"/>
      <c r="N6" s="56"/>
      <c r="O6" s="38"/>
      <c r="P6" s="38"/>
      <c r="Q6" s="53"/>
      <c r="R6" s="38" t="s">
        <v>3</v>
      </c>
      <c r="S6" s="38"/>
      <c r="T6" s="57"/>
      <c r="U6" s="42"/>
      <c r="V6" s="42" t="s">
        <v>3</v>
      </c>
      <c r="W6" s="42"/>
      <c r="X6" s="58"/>
      <c r="Y6" s="38"/>
      <c r="Z6" s="38" t="s">
        <v>3</v>
      </c>
      <c r="AA6" s="38"/>
      <c r="AB6" s="56"/>
      <c r="AC6" s="38"/>
      <c r="AD6" s="38"/>
      <c r="AE6" s="53"/>
      <c r="AF6" s="38" t="s">
        <v>3</v>
      </c>
      <c r="AG6" s="38"/>
      <c r="AH6" s="57"/>
      <c r="AI6" s="42"/>
      <c r="AJ6" s="42" t="s">
        <v>3</v>
      </c>
      <c r="AK6" s="42"/>
      <c r="AL6" s="58"/>
      <c r="AM6" s="75"/>
      <c r="AN6" s="38" t="s">
        <v>3</v>
      </c>
      <c r="AP6" s="38"/>
      <c r="AS6" s="53"/>
      <c r="AT6" s="38" t="s">
        <v>3</v>
      </c>
      <c r="AU6" s="38"/>
      <c r="AV6" s="57"/>
      <c r="AW6" s="42"/>
      <c r="AX6" s="42" t="s">
        <v>3</v>
      </c>
      <c r="AY6" s="42"/>
      <c r="AZ6" s="58"/>
      <c r="BA6" s="75"/>
      <c r="BB6" s="38"/>
      <c r="BC6" s="38" t="s">
        <v>3</v>
      </c>
      <c r="BD6" s="56"/>
    </row>
    <row r="7" spans="3:56" ht="12" customHeight="1" x14ac:dyDescent="0.2">
      <c r="C7" s="50"/>
      <c r="D7" s="40" t="s">
        <v>0</v>
      </c>
      <c r="E7" s="40"/>
      <c r="F7" s="52"/>
      <c r="G7" s="53"/>
      <c r="H7" s="40" t="s">
        <v>0</v>
      </c>
      <c r="I7" s="38"/>
      <c r="J7" s="54"/>
      <c r="K7" s="40"/>
      <c r="L7" s="40" t="s">
        <v>0</v>
      </c>
      <c r="M7" s="40"/>
      <c r="N7" s="52"/>
      <c r="O7" s="38"/>
      <c r="P7" s="38"/>
      <c r="Q7" s="50"/>
      <c r="R7" s="40" t="s">
        <v>0</v>
      </c>
      <c r="S7" s="40"/>
      <c r="T7" s="52"/>
      <c r="U7" s="53"/>
      <c r="V7" s="40" t="s">
        <v>0</v>
      </c>
      <c r="W7" s="38"/>
      <c r="X7" s="54"/>
      <c r="Y7" s="40"/>
      <c r="Z7" s="40" t="s">
        <v>0</v>
      </c>
      <c r="AA7" s="40"/>
      <c r="AB7" s="52"/>
      <c r="AC7" s="38"/>
      <c r="AD7" s="38"/>
      <c r="AE7" s="50"/>
      <c r="AF7" s="40" t="s">
        <v>0</v>
      </c>
      <c r="AG7" s="40"/>
      <c r="AH7" s="52"/>
      <c r="AI7" s="53"/>
      <c r="AJ7" s="40" t="s">
        <v>0</v>
      </c>
      <c r="AK7" s="38"/>
      <c r="AL7" s="54"/>
      <c r="AM7" s="40"/>
      <c r="AN7" s="40" t="s">
        <v>0</v>
      </c>
      <c r="AP7" s="40"/>
      <c r="AS7" s="50"/>
      <c r="AT7" s="40" t="s">
        <v>0</v>
      </c>
      <c r="AU7" s="40"/>
      <c r="AV7" s="52"/>
      <c r="AW7" s="53"/>
      <c r="AX7" s="40" t="s">
        <v>0</v>
      </c>
      <c r="AY7" s="38"/>
      <c r="AZ7" s="54"/>
      <c r="BA7" s="40"/>
      <c r="BB7" s="40"/>
      <c r="BC7" s="40" t="s">
        <v>0</v>
      </c>
      <c r="BD7" s="52"/>
    </row>
    <row r="8" spans="3:56" ht="12" customHeight="1" x14ac:dyDescent="0.2">
      <c r="C8" s="53"/>
      <c r="D8" s="38" t="s">
        <v>1</v>
      </c>
      <c r="E8" s="38"/>
      <c r="F8" s="56"/>
      <c r="G8" s="53"/>
      <c r="H8" s="38" t="s">
        <v>1</v>
      </c>
      <c r="I8" s="38"/>
      <c r="J8" s="56"/>
      <c r="K8" s="53"/>
      <c r="L8" s="38" t="s">
        <v>1</v>
      </c>
      <c r="M8" s="38"/>
      <c r="N8" s="56"/>
      <c r="O8" s="38"/>
      <c r="P8" s="38"/>
      <c r="Q8" s="53"/>
      <c r="R8" s="38" t="s">
        <v>1</v>
      </c>
      <c r="S8" s="38"/>
      <c r="T8" s="56"/>
      <c r="U8" s="53"/>
      <c r="V8" s="38" t="s">
        <v>1</v>
      </c>
      <c r="W8" s="38"/>
      <c r="X8" s="56"/>
      <c r="Y8" s="53"/>
      <c r="Z8" s="38" t="s">
        <v>1</v>
      </c>
      <c r="AA8" s="38"/>
      <c r="AB8" s="56"/>
      <c r="AC8" s="38"/>
      <c r="AD8" s="38"/>
      <c r="AE8" s="53"/>
      <c r="AF8" s="38" t="s">
        <v>1</v>
      </c>
      <c r="AG8" s="38"/>
      <c r="AH8" s="56"/>
      <c r="AI8" s="53"/>
      <c r="AJ8" s="38" t="s">
        <v>1</v>
      </c>
      <c r="AK8" s="38"/>
      <c r="AL8" s="56"/>
      <c r="AM8" s="53"/>
      <c r="AN8" s="38" t="s">
        <v>1</v>
      </c>
      <c r="AP8" s="38"/>
      <c r="AS8" s="53"/>
      <c r="AT8" s="38" t="s">
        <v>1</v>
      </c>
      <c r="AU8" s="38"/>
      <c r="AV8" s="56"/>
      <c r="AW8" s="53"/>
      <c r="AX8" s="38" t="s">
        <v>1</v>
      </c>
      <c r="AY8" s="38"/>
      <c r="AZ8" s="56"/>
      <c r="BA8" s="53"/>
      <c r="BB8" s="38"/>
      <c r="BC8" s="38" t="s">
        <v>1</v>
      </c>
      <c r="BD8" s="56"/>
    </row>
    <row r="9" spans="3:56" ht="12" customHeight="1" x14ac:dyDescent="0.2">
      <c r="C9" s="53"/>
      <c r="D9" s="38" t="s">
        <v>2</v>
      </c>
      <c r="E9" s="38"/>
      <c r="F9" s="56"/>
      <c r="G9" s="53"/>
      <c r="H9" s="38" t="s">
        <v>2</v>
      </c>
      <c r="I9" s="38"/>
      <c r="J9" s="56"/>
      <c r="K9" s="53"/>
      <c r="L9" s="38" t="s">
        <v>2</v>
      </c>
      <c r="M9" s="38"/>
      <c r="N9" s="56"/>
      <c r="O9" s="38"/>
      <c r="P9" s="38"/>
      <c r="Q9" s="53"/>
      <c r="R9" s="38" t="s">
        <v>2</v>
      </c>
      <c r="S9" s="38"/>
      <c r="T9" s="56"/>
      <c r="U9" s="53"/>
      <c r="V9" s="38" t="s">
        <v>2</v>
      </c>
      <c r="W9" s="38"/>
      <c r="X9" s="56"/>
      <c r="Y9" s="53"/>
      <c r="Z9" s="38" t="s">
        <v>2</v>
      </c>
      <c r="AA9" s="38"/>
      <c r="AB9" s="56"/>
      <c r="AC9" s="38"/>
      <c r="AD9" s="38"/>
      <c r="AE9" s="53"/>
      <c r="AF9" s="38" t="s">
        <v>2</v>
      </c>
      <c r="AG9" s="38"/>
      <c r="AH9" s="56"/>
      <c r="AI9" s="53"/>
      <c r="AJ9" s="38" t="s">
        <v>2</v>
      </c>
      <c r="AK9" s="38"/>
      <c r="AL9" s="56"/>
      <c r="AM9" s="53"/>
      <c r="AN9" s="38" t="s">
        <v>2</v>
      </c>
      <c r="AP9" s="38"/>
      <c r="AS9" s="53"/>
      <c r="AT9" s="38" t="s">
        <v>2</v>
      </c>
      <c r="AU9" s="38"/>
      <c r="AV9" s="56"/>
      <c r="AW9" s="53"/>
      <c r="AX9" s="38" t="s">
        <v>2</v>
      </c>
      <c r="AY9" s="38"/>
      <c r="AZ9" s="56"/>
      <c r="BA9" s="53"/>
      <c r="BB9" s="38"/>
      <c r="BC9" s="38" t="s">
        <v>2</v>
      </c>
      <c r="BD9" s="56"/>
    </row>
    <row r="10" spans="3:56" ht="12" customHeight="1" x14ac:dyDescent="0.2">
      <c r="C10" s="59"/>
      <c r="D10" s="39" t="s">
        <v>3</v>
      </c>
      <c r="E10" s="39"/>
      <c r="F10" s="60"/>
      <c r="G10" s="59"/>
      <c r="H10" s="39" t="s">
        <v>3</v>
      </c>
      <c r="I10" s="39"/>
      <c r="J10" s="60"/>
      <c r="K10" s="59"/>
      <c r="L10" s="39" t="s">
        <v>3</v>
      </c>
      <c r="M10" s="39"/>
      <c r="N10" s="60"/>
      <c r="O10" s="38"/>
      <c r="P10" s="38"/>
      <c r="Q10" s="59"/>
      <c r="R10" s="39" t="s">
        <v>3</v>
      </c>
      <c r="S10" s="39"/>
      <c r="T10" s="60"/>
      <c r="U10" s="59"/>
      <c r="V10" s="39" t="s">
        <v>3</v>
      </c>
      <c r="W10" s="39"/>
      <c r="X10" s="60"/>
      <c r="Y10" s="59"/>
      <c r="Z10" s="39" t="s">
        <v>3</v>
      </c>
      <c r="AA10" s="39"/>
      <c r="AB10" s="60"/>
      <c r="AC10" s="38"/>
      <c r="AD10" s="38"/>
      <c r="AE10" s="59"/>
      <c r="AF10" s="39" t="s">
        <v>3</v>
      </c>
      <c r="AG10" s="39"/>
      <c r="AH10" s="60"/>
      <c r="AI10" s="59"/>
      <c r="AJ10" s="39" t="s">
        <v>3</v>
      </c>
      <c r="AK10" s="39"/>
      <c r="AL10" s="60"/>
      <c r="AM10" s="59"/>
      <c r="AN10" s="39" t="s">
        <v>3</v>
      </c>
      <c r="AP10" s="39"/>
      <c r="AS10" s="59"/>
      <c r="AT10" s="39" t="s">
        <v>3</v>
      </c>
      <c r="AU10" s="39"/>
      <c r="AV10" s="60"/>
      <c r="AW10" s="59"/>
      <c r="AX10" s="39" t="s">
        <v>3</v>
      </c>
      <c r="AY10" s="39"/>
      <c r="AZ10" s="60"/>
      <c r="BA10" s="59"/>
      <c r="BB10" s="39"/>
      <c r="BC10" s="39" t="s">
        <v>3</v>
      </c>
      <c r="BD10" s="60"/>
    </row>
    <row r="11" spans="3:56" ht="12" customHeight="1" x14ac:dyDescent="0.2">
      <c r="C11" s="50"/>
      <c r="D11" s="40" t="s">
        <v>0</v>
      </c>
      <c r="E11" s="52"/>
      <c r="F11" s="40" t="s">
        <v>0</v>
      </c>
      <c r="G11" s="40"/>
      <c r="H11" s="52"/>
      <c r="I11" s="40" t="s">
        <v>0</v>
      </c>
      <c r="J11" s="40"/>
      <c r="K11" s="52"/>
      <c r="L11" s="40" t="s">
        <v>0</v>
      </c>
      <c r="M11" s="40"/>
      <c r="N11" s="52"/>
      <c r="O11" s="38"/>
      <c r="P11" s="38"/>
      <c r="Q11" s="50"/>
      <c r="R11" s="40" t="s">
        <v>0</v>
      </c>
      <c r="S11" s="52"/>
      <c r="T11" s="40" t="s">
        <v>0</v>
      </c>
      <c r="U11" s="40"/>
      <c r="V11" s="52"/>
      <c r="W11" s="40" t="s">
        <v>0</v>
      </c>
      <c r="X11" s="40"/>
      <c r="Y11" s="52"/>
      <c r="Z11" s="40" t="s">
        <v>0</v>
      </c>
      <c r="AA11" s="40"/>
      <c r="AB11" s="52"/>
      <c r="AC11" s="38"/>
      <c r="AD11" s="38"/>
      <c r="AE11" s="50"/>
      <c r="AF11" s="40" t="s">
        <v>0</v>
      </c>
      <c r="AG11" s="52"/>
      <c r="AH11" s="40" t="s">
        <v>0</v>
      </c>
      <c r="AI11" s="40"/>
      <c r="AJ11" s="52"/>
      <c r="AK11" s="40" t="s">
        <v>0</v>
      </c>
      <c r="AL11" s="40"/>
      <c r="AM11" s="52"/>
      <c r="AN11" s="40" t="s">
        <v>0</v>
      </c>
      <c r="AP11" s="52"/>
      <c r="AS11" s="50"/>
      <c r="AT11" s="40" t="s">
        <v>0</v>
      </c>
      <c r="AU11" s="52"/>
      <c r="AV11" s="40" t="s">
        <v>0</v>
      </c>
      <c r="AW11" s="40"/>
      <c r="AX11" s="52"/>
      <c r="AY11" s="40" t="s">
        <v>0</v>
      </c>
      <c r="AZ11" s="40"/>
      <c r="BA11" s="52"/>
      <c r="BB11" s="50"/>
      <c r="BC11" s="40" t="s">
        <v>0</v>
      </c>
      <c r="BD11" s="52"/>
    </row>
    <row r="12" spans="3:56" ht="12" customHeight="1" x14ac:dyDescent="0.2">
      <c r="C12" s="53"/>
      <c r="D12" s="38" t="s">
        <v>1</v>
      </c>
      <c r="E12" s="56"/>
      <c r="F12" s="38" t="s">
        <v>1</v>
      </c>
      <c r="G12" s="38"/>
      <c r="H12" s="56"/>
      <c r="I12" s="38" t="s">
        <v>1</v>
      </c>
      <c r="J12" s="38"/>
      <c r="K12" s="56"/>
      <c r="L12" s="38" t="s">
        <v>1</v>
      </c>
      <c r="M12" s="38"/>
      <c r="N12" s="56"/>
      <c r="O12" s="38"/>
      <c r="P12" s="38"/>
      <c r="Q12" s="53"/>
      <c r="R12" s="38" t="s">
        <v>1</v>
      </c>
      <c r="S12" s="56"/>
      <c r="T12" s="38" t="s">
        <v>1</v>
      </c>
      <c r="U12" s="38"/>
      <c r="V12" s="56"/>
      <c r="W12" s="38" t="s">
        <v>1</v>
      </c>
      <c r="X12" s="38"/>
      <c r="Y12" s="56"/>
      <c r="Z12" s="38" t="s">
        <v>1</v>
      </c>
      <c r="AA12" s="38"/>
      <c r="AB12" s="56"/>
      <c r="AC12" s="38"/>
      <c r="AD12" s="38"/>
      <c r="AE12" s="53"/>
      <c r="AF12" s="38" t="s">
        <v>1</v>
      </c>
      <c r="AG12" s="56"/>
      <c r="AH12" s="38" t="s">
        <v>1</v>
      </c>
      <c r="AI12" s="38"/>
      <c r="AJ12" s="56"/>
      <c r="AK12" s="38" t="s">
        <v>1</v>
      </c>
      <c r="AL12" s="38"/>
      <c r="AM12" s="56"/>
      <c r="AN12" s="38" t="s">
        <v>1</v>
      </c>
      <c r="AP12" s="56"/>
      <c r="AS12" s="53"/>
      <c r="AT12" s="38" t="s">
        <v>1</v>
      </c>
      <c r="AU12" s="56"/>
      <c r="AV12" s="38" t="s">
        <v>1</v>
      </c>
      <c r="AW12" s="38"/>
      <c r="AX12" s="56"/>
      <c r="AY12" s="38" t="s">
        <v>1</v>
      </c>
      <c r="AZ12" s="38"/>
      <c r="BA12" s="56"/>
      <c r="BB12" s="53"/>
      <c r="BC12" s="38" t="s">
        <v>1</v>
      </c>
      <c r="BD12" s="56"/>
    </row>
    <row r="13" spans="3:56" ht="12" customHeight="1" x14ac:dyDescent="0.2">
      <c r="C13" s="53"/>
      <c r="D13" s="38" t="s">
        <v>2</v>
      </c>
      <c r="E13" s="56"/>
      <c r="F13" s="38" t="s">
        <v>2</v>
      </c>
      <c r="G13" s="38"/>
      <c r="H13" s="56"/>
      <c r="I13" s="38" t="s">
        <v>2</v>
      </c>
      <c r="J13" s="38"/>
      <c r="K13" s="56"/>
      <c r="L13" s="38" t="s">
        <v>2</v>
      </c>
      <c r="M13" s="38"/>
      <c r="N13" s="56"/>
      <c r="O13" s="38"/>
      <c r="P13" s="38"/>
      <c r="Q13" s="53"/>
      <c r="R13" s="38" t="s">
        <v>2</v>
      </c>
      <c r="S13" s="56"/>
      <c r="T13" s="38" t="s">
        <v>2</v>
      </c>
      <c r="U13" s="38"/>
      <c r="V13" s="56"/>
      <c r="W13" s="38" t="s">
        <v>2</v>
      </c>
      <c r="X13" s="38"/>
      <c r="Y13" s="56"/>
      <c r="Z13" s="38" t="s">
        <v>2</v>
      </c>
      <c r="AA13" s="38"/>
      <c r="AB13" s="56"/>
      <c r="AC13" s="38"/>
      <c r="AD13" s="38"/>
      <c r="AE13" s="53"/>
      <c r="AF13" s="38" t="s">
        <v>2</v>
      </c>
      <c r="AG13" s="56"/>
      <c r="AH13" s="38" t="s">
        <v>2</v>
      </c>
      <c r="AI13" s="38"/>
      <c r="AJ13" s="56"/>
      <c r="AK13" s="38" t="s">
        <v>2</v>
      </c>
      <c r="AL13" s="38"/>
      <c r="AM13" s="56"/>
      <c r="AN13" s="38" t="s">
        <v>2</v>
      </c>
      <c r="AP13" s="56"/>
      <c r="AS13" s="53"/>
      <c r="AT13" s="38" t="s">
        <v>2</v>
      </c>
      <c r="AU13" s="56"/>
      <c r="AV13" s="38" t="s">
        <v>2</v>
      </c>
      <c r="AW13" s="38"/>
      <c r="AX13" s="56"/>
      <c r="AY13" s="38" t="s">
        <v>2</v>
      </c>
      <c r="AZ13" s="38"/>
      <c r="BA13" s="56"/>
      <c r="BB13" s="53"/>
      <c r="BC13" s="38" t="s">
        <v>2</v>
      </c>
      <c r="BD13" s="56"/>
    </row>
    <row r="14" spans="3:56" ht="12" customHeight="1" x14ac:dyDescent="0.2">
      <c r="C14" s="59"/>
      <c r="D14" s="39" t="s">
        <v>3</v>
      </c>
      <c r="E14" s="60"/>
      <c r="F14" s="39" t="s">
        <v>3</v>
      </c>
      <c r="G14" s="39"/>
      <c r="H14" s="60"/>
      <c r="I14" s="39" t="s">
        <v>3</v>
      </c>
      <c r="J14" s="39"/>
      <c r="K14" s="60"/>
      <c r="L14" s="39" t="s">
        <v>3</v>
      </c>
      <c r="M14" s="39"/>
      <c r="N14" s="60"/>
      <c r="O14" s="38"/>
      <c r="P14" s="38"/>
      <c r="Q14" s="59"/>
      <c r="R14" s="39" t="s">
        <v>3</v>
      </c>
      <c r="S14" s="60"/>
      <c r="T14" s="39" t="s">
        <v>3</v>
      </c>
      <c r="U14" s="39"/>
      <c r="V14" s="60"/>
      <c r="W14" s="39" t="s">
        <v>3</v>
      </c>
      <c r="X14" s="39"/>
      <c r="Y14" s="60"/>
      <c r="Z14" s="39" t="s">
        <v>3</v>
      </c>
      <c r="AA14" s="39"/>
      <c r="AB14" s="60"/>
      <c r="AC14" s="38"/>
      <c r="AD14" s="38"/>
      <c r="AE14" s="59"/>
      <c r="AF14" s="39" t="s">
        <v>3</v>
      </c>
      <c r="AG14" s="60"/>
      <c r="AH14" s="39" t="s">
        <v>3</v>
      </c>
      <c r="AI14" s="39"/>
      <c r="AJ14" s="60"/>
      <c r="AK14" s="39" t="s">
        <v>3</v>
      </c>
      <c r="AL14" s="39"/>
      <c r="AM14" s="60"/>
      <c r="AN14" s="39" t="s">
        <v>3</v>
      </c>
      <c r="AP14" s="60"/>
      <c r="AS14" s="59"/>
      <c r="AT14" s="39" t="s">
        <v>3</v>
      </c>
      <c r="AU14" s="60"/>
      <c r="AV14" s="39" t="s">
        <v>3</v>
      </c>
      <c r="AW14" s="39"/>
      <c r="AX14" s="60"/>
      <c r="AY14" s="39" t="s">
        <v>3</v>
      </c>
      <c r="AZ14" s="39"/>
      <c r="BA14" s="60"/>
      <c r="BB14" s="59"/>
      <c r="BC14" s="39" t="s">
        <v>3</v>
      </c>
      <c r="BD14" s="60"/>
    </row>
    <row r="16" spans="3:56" ht="12" customHeight="1" x14ac:dyDescent="0.2">
      <c r="C16" s="134" t="s">
        <v>43</v>
      </c>
      <c r="D16" s="134"/>
      <c r="E16" s="134"/>
      <c r="F16" s="134"/>
      <c r="G16" s="134"/>
      <c r="H16" s="37"/>
      <c r="I16" s="37"/>
      <c r="J16" s="37"/>
      <c r="K16" s="37"/>
      <c r="L16" s="37"/>
      <c r="M16" s="37"/>
      <c r="N16" s="37"/>
    </row>
    <row r="17" spans="3:56" ht="12" customHeight="1" x14ac:dyDescent="0.2">
      <c r="C17" s="135"/>
      <c r="D17" s="135"/>
      <c r="E17" s="135"/>
      <c r="F17" s="135"/>
      <c r="G17" s="135"/>
    </row>
    <row r="18" spans="3:56" ht="12" customHeight="1" thickBot="1" x14ac:dyDescent="0.25">
      <c r="C18" s="50"/>
      <c r="D18" s="40" t="s">
        <v>0</v>
      </c>
      <c r="E18" s="40"/>
      <c r="F18" s="51"/>
      <c r="G18" s="40"/>
      <c r="H18" s="40" t="s">
        <v>0</v>
      </c>
      <c r="I18" s="40"/>
      <c r="J18" s="51"/>
      <c r="K18" s="40"/>
      <c r="L18" s="40" t="s">
        <v>0</v>
      </c>
      <c r="M18" s="40"/>
      <c r="N18" s="52"/>
      <c r="O18" s="38"/>
      <c r="P18" s="38"/>
      <c r="Q18" s="50"/>
      <c r="R18" s="40" t="s">
        <v>0</v>
      </c>
      <c r="S18" s="40"/>
      <c r="T18" s="51"/>
      <c r="U18" s="40"/>
      <c r="V18" s="40" t="s">
        <v>0</v>
      </c>
      <c r="W18" s="40"/>
      <c r="X18" s="51"/>
      <c r="Y18" s="40"/>
      <c r="Z18" s="40" t="s">
        <v>0</v>
      </c>
      <c r="AA18" s="40"/>
      <c r="AB18" s="52"/>
      <c r="AC18" s="38"/>
      <c r="AD18" s="38"/>
      <c r="AE18" s="50"/>
      <c r="AF18" s="40" t="s">
        <v>0</v>
      </c>
      <c r="AG18" s="40"/>
      <c r="AH18" s="51"/>
      <c r="AI18" s="40"/>
      <c r="AJ18" s="40" t="s">
        <v>0</v>
      </c>
      <c r="AK18" s="40"/>
      <c r="AL18" s="51"/>
      <c r="AM18" s="74"/>
      <c r="AN18" s="40" t="s">
        <v>0</v>
      </c>
      <c r="AP18" s="52"/>
      <c r="AS18" s="50"/>
      <c r="AT18" s="40" t="s">
        <v>0</v>
      </c>
      <c r="AU18" s="40"/>
      <c r="AV18" s="51"/>
      <c r="AW18" s="40"/>
      <c r="AX18" s="40" t="s">
        <v>0</v>
      </c>
      <c r="AY18" s="40"/>
      <c r="AZ18" s="51"/>
      <c r="BA18" s="74"/>
      <c r="BB18" s="40"/>
      <c r="BC18" s="40" t="s">
        <v>0</v>
      </c>
      <c r="BD18" s="52"/>
    </row>
    <row r="19" spans="3:56" ht="12" customHeight="1" x14ac:dyDescent="0.2">
      <c r="C19" s="53"/>
      <c r="D19" s="38" t="s">
        <v>1</v>
      </c>
      <c r="E19" s="38"/>
      <c r="F19" s="54"/>
      <c r="G19" s="41"/>
      <c r="H19" s="41" t="s">
        <v>1</v>
      </c>
      <c r="I19" s="41"/>
      <c r="J19" s="55"/>
      <c r="K19" s="38"/>
      <c r="L19" s="38" t="s">
        <v>1</v>
      </c>
      <c r="M19" s="38"/>
      <c r="N19" s="56"/>
      <c r="O19" s="38"/>
      <c r="P19" s="38"/>
      <c r="Q19" s="53"/>
      <c r="R19" s="38" t="s">
        <v>1</v>
      </c>
      <c r="S19" s="38"/>
      <c r="T19" s="54"/>
      <c r="U19" s="41"/>
      <c r="V19" s="41" t="s">
        <v>1</v>
      </c>
      <c r="W19" s="41"/>
      <c r="X19" s="55"/>
      <c r="Y19" s="38"/>
      <c r="Z19" s="38" t="s">
        <v>1</v>
      </c>
      <c r="AA19" s="38"/>
      <c r="AB19" s="56"/>
      <c r="AC19" s="38"/>
      <c r="AD19" s="38"/>
      <c r="AE19" s="53"/>
      <c r="AF19" s="38" t="s">
        <v>1</v>
      </c>
      <c r="AG19" s="38"/>
      <c r="AH19" s="54"/>
      <c r="AI19" s="41"/>
      <c r="AJ19" s="41" t="s">
        <v>1</v>
      </c>
      <c r="AK19" s="41"/>
      <c r="AL19" s="55"/>
      <c r="AM19" s="73"/>
      <c r="AN19" s="38" t="s">
        <v>1</v>
      </c>
      <c r="AP19" s="56"/>
      <c r="AS19" s="53"/>
      <c r="AT19" s="38" t="s">
        <v>1</v>
      </c>
      <c r="AU19" s="38"/>
      <c r="AV19" s="54"/>
      <c r="AW19" s="41"/>
      <c r="AX19" s="41" t="s">
        <v>1</v>
      </c>
      <c r="AY19" s="41"/>
      <c r="AZ19" s="55"/>
      <c r="BA19" s="73"/>
      <c r="BB19" s="38"/>
      <c r="BC19" s="38" t="s">
        <v>1</v>
      </c>
      <c r="BD19" s="56"/>
    </row>
    <row r="20" spans="3:56" ht="12" customHeight="1" x14ac:dyDescent="0.2">
      <c r="C20" s="53"/>
      <c r="D20" s="38" t="s">
        <v>2</v>
      </c>
      <c r="E20" s="38"/>
      <c r="F20" s="54"/>
      <c r="G20" s="38"/>
      <c r="H20" s="38" t="s">
        <v>2</v>
      </c>
      <c r="I20" s="38"/>
      <c r="J20" s="54"/>
      <c r="K20" s="38"/>
      <c r="L20" s="38" t="s">
        <v>2</v>
      </c>
      <c r="M20" s="38"/>
      <c r="N20" s="56"/>
      <c r="O20" s="38"/>
      <c r="P20" s="38"/>
      <c r="Q20" s="53"/>
      <c r="R20" s="38" t="s">
        <v>2</v>
      </c>
      <c r="S20" s="38"/>
      <c r="T20" s="54"/>
      <c r="U20" s="38"/>
      <c r="V20" s="38" t="s">
        <v>2</v>
      </c>
      <c r="W20" s="38"/>
      <c r="X20" s="54"/>
      <c r="Y20" s="38"/>
      <c r="Z20" s="38" t="s">
        <v>2</v>
      </c>
      <c r="AA20" s="38"/>
      <c r="AB20" s="56"/>
      <c r="AC20" s="38"/>
      <c r="AD20" s="38"/>
      <c r="AE20" s="53"/>
      <c r="AF20" s="38" t="s">
        <v>2</v>
      </c>
      <c r="AG20" s="38"/>
      <c r="AH20" s="54"/>
      <c r="AI20" s="38"/>
      <c r="AJ20" s="38" t="s">
        <v>2</v>
      </c>
      <c r="AK20" s="38"/>
      <c r="AL20" s="54"/>
      <c r="AM20" s="73"/>
      <c r="AN20" s="38" t="s">
        <v>2</v>
      </c>
      <c r="AP20" s="56"/>
      <c r="AS20" s="53"/>
      <c r="AT20" s="38" t="s">
        <v>2</v>
      </c>
      <c r="AU20" s="38"/>
      <c r="AV20" s="54"/>
      <c r="AW20" s="38"/>
      <c r="AX20" s="38" t="s">
        <v>2</v>
      </c>
      <c r="AY20" s="38"/>
      <c r="AZ20" s="54"/>
      <c r="BA20" s="73"/>
      <c r="BB20" s="38"/>
      <c r="BC20" s="38" t="s">
        <v>2</v>
      </c>
      <c r="BD20" s="56"/>
    </row>
    <row r="21" spans="3:56" ht="12" customHeight="1" thickBot="1" x14ac:dyDescent="0.25">
      <c r="C21" s="53"/>
      <c r="D21" s="38" t="s">
        <v>3</v>
      </c>
      <c r="E21" s="38"/>
      <c r="F21" s="57"/>
      <c r="G21" s="42"/>
      <c r="H21" s="42" t="s">
        <v>3</v>
      </c>
      <c r="I21" s="42"/>
      <c r="J21" s="58"/>
      <c r="K21" s="38"/>
      <c r="L21" s="38" t="s">
        <v>3</v>
      </c>
      <c r="M21" s="38"/>
      <c r="N21" s="56"/>
      <c r="O21" s="38"/>
      <c r="P21" s="38"/>
      <c r="Q21" s="53"/>
      <c r="R21" s="38" t="s">
        <v>3</v>
      </c>
      <c r="S21" s="38"/>
      <c r="T21" s="57"/>
      <c r="U21" s="42"/>
      <c r="V21" s="42" t="s">
        <v>3</v>
      </c>
      <c r="W21" s="42"/>
      <c r="X21" s="58"/>
      <c r="Y21" s="38"/>
      <c r="Z21" s="38" t="s">
        <v>3</v>
      </c>
      <c r="AA21" s="38"/>
      <c r="AB21" s="56"/>
      <c r="AC21" s="38"/>
      <c r="AD21" s="38"/>
      <c r="AE21" s="53"/>
      <c r="AF21" s="38" t="s">
        <v>3</v>
      </c>
      <c r="AG21" s="38"/>
      <c r="AH21" s="57"/>
      <c r="AI21" s="42"/>
      <c r="AJ21" s="42" t="s">
        <v>3</v>
      </c>
      <c r="AK21" s="42"/>
      <c r="AL21" s="58"/>
      <c r="AM21" s="75"/>
      <c r="AN21" s="38" t="s">
        <v>3</v>
      </c>
      <c r="AP21" s="56"/>
      <c r="AS21" s="53"/>
      <c r="AT21" s="38" t="s">
        <v>3</v>
      </c>
      <c r="AU21" s="38"/>
      <c r="AV21" s="57"/>
      <c r="AW21" s="42"/>
      <c r="AX21" s="42" t="s">
        <v>3</v>
      </c>
      <c r="AY21" s="42"/>
      <c r="AZ21" s="58"/>
      <c r="BA21" s="75"/>
      <c r="BB21" s="38"/>
      <c r="BC21" s="38" t="s">
        <v>3</v>
      </c>
      <c r="BD21" s="56"/>
    </row>
    <row r="22" spans="3:56" ht="12" customHeight="1" x14ac:dyDescent="0.2">
      <c r="C22" s="50"/>
      <c r="D22" s="40" t="s">
        <v>0</v>
      </c>
      <c r="E22" s="40"/>
      <c r="F22" s="52"/>
      <c r="G22" s="53"/>
      <c r="H22" s="40" t="s">
        <v>0</v>
      </c>
      <c r="I22" s="38"/>
      <c r="J22" s="54"/>
      <c r="K22" s="40"/>
      <c r="L22" s="40" t="s">
        <v>0</v>
      </c>
      <c r="M22" s="40"/>
      <c r="N22" s="52"/>
      <c r="O22" s="38"/>
      <c r="P22" s="38"/>
      <c r="Q22" s="50"/>
      <c r="R22" s="40" t="s">
        <v>0</v>
      </c>
      <c r="S22" s="40"/>
      <c r="T22" s="52"/>
      <c r="U22" s="53"/>
      <c r="V22" s="40" t="s">
        <v>0</v>
      </c>
      <c r="W22" s="38"/>
      <c r="X22" s="54"/>
      <c r="Y22" s="40"/>
      <c r="Z22" s="40" t="s">
        <v>0</v>
      </c>
      <c r="AA22" s="40"/>
      <c r="AB22" s="52"/>
      <c r="AC22" s="38"/>
      <c r="AD22" s="38"/>
      <c r="AE22" s="50"/>
      <c r="AF22" s="40" t="s">
        <v>0</v>
      </c>
      <c r="AG22" s="40"/>
      <c r="AH22" s="52"/>
      <c r="AI22" s="53"/>
      <c r="AJ22" s="40" t="s">
        <v>0</v>
      </c>
      <c r="AK22" s="38"/>
      <c r="AL22" s="54"/>
      <c r="AM22" s="40"/>
      <c r="AN22" s="40" t="s">
        <v>0</v>
      </c>
      <c r="AP22" s="52"/>
      <c r="AS22" s="50"/>
      <c r="AT22" s="40" t="s">
        <v>0</v>
      </c>
      <c r="AU22" s="40"/>
      <c r="AV22" s="52"/>
      <c r="AW22" s="53"/>
      <c r="AX22" s="40" t="s">
        <v>0</v>
      </c>
      <c r="AY22" s="38"/>
      <c r="AZ22" s="54"/>
      <c r="BA22" s="74"/>
      <c r="BB22" s="40"/>
      <c r="BC22" s="40" t="s">
        <v>0</v>
      </c>
      <c r="BD22" s="52"/>
    </row>
    <row r="23" spans="3:56" ht="12" customHeight="1" x14ac:dyDescent="0.2">
      <c r="C23" s="53"/>
      <c r="D23" s="38" t="s">
        <v>1</v>
      </c>
      <c r="E23" s="38"/>
      <c r="F23" s="56"/>
      <c r="G23" s="53"/>
      <c r="H23" s="38" t="s">
        <v>1</v>
      </c>
      <c r="I23" s="38"/>
      <c r="J23" s="56"/>
      <c r="K23" s="53"/>
      <c r="L23" s="38" t="s">
        <v>1</v>
      </c>
      <c r="M23" s="38"/>
      <c r="N23" s="56"/>
      <c r="O23" s="38"/>
      <c r="P23" s="38"/>
      <c r="Q23" s="53"/>
      <c r="R23" s="38" t="s">
        <v>1</v>
      </c>
      <c r="S23" s="38"/>
      <c r="T23" s="56"/>
      <c r="U23" s="53"/>
      <c r="V23" s="38" t="s">
        <v>1</v>
      </c>
      <c r="W23" s="38"/>
      <c r="X23" s="56"/>
      <c r="Y23" s="53"/>
      <c r="Z23" s="38" t="s">
        <v>1</v>
      </c>
      <c r="AA23" s="38"/>
      <c r="AB23" s="56"/>
      <c r="AC23" s="38"/>
      <c r="AD23" s="38"/>
      <c r="AE23" s="53"/>
      <c r="AF23" s="38" t="s">
        <v>1</v>
      </c>
      <c r="AG23" s="38"/>
      <c r="AH23" s="56"/>
      <c r="AI23" s="53"/>
      <c r="AJ23" s="38" t="s">
        <v>1</v>
      </c>
      <c r="AK23" s="38"/>
      <c r="AL23" s="56"/>
      <c r="AM23" s="53"/>
      <c r="AN23" s="38" t="s">
        <v>1</v>
      </c>
      <c r="AP23" s="56"/>
      <c r="AS23" s="53"/>
      <c r="AT23" s="38" t="s">
        <v>1</v>
      </c>
      <c r="AU23" s="38"/>
      <c r="AV23" s="56"/>
      <c r="AW23" s="53"/>
      <c r="AX23" s="38" t="s">
        <v>1</v>
      </c>
      <c r="AY23" s="38"/>
      <c r="AZ23" s="56"/>
      <c r="BA23" s="53"/>
      <c r="BB23" s="38"/>
      <c r="BC23" s="38" t="s">
        <v>1</v>
      </c>
      <c r="BD23" s="56"/>
    </row>
    <row r="24" spans="3:56" ht="12" customHeight="1" x14ac:dyDescent="0.2">
      <c r="C24" s="53"/>
      <c r="D24" s="38" t="s">
        <v>2</v>
      </c>
      <c r="E24" s="38"/>
      <c r="F24" s="56"/>
      <c r="G24" s="53"/>
      <c r="H24" s="38" t="s">
        <v>2</v>
      </c>
      <c r="I24" s="38"/>
      <c r="J24" s="56"/>
      <c r="K24" s="53"/>
      <c r="L24" s="38" t="s">
        <v>2</v>
      </c>
      <c r="M24" s="38"/>
      <c r="N24" s="56"/>
      <c r="O24" s="38"/>
      <c r="P24" s="38"/>
      <c r="Q24" s="53"/>
      <c r="R24" s="38" t="s">
        <v>2</v>
      </c>
      <c r="S24" s="38"/>
      <c r="T24" s="56"/>
      <c r="U24" s="53"/>
      <c r="V24" s="38" t="s">
        <v>2</v>
      </c>
      <c r="W24" s="38"/>
      <c r="X24" s="56"/>
      <c r="Y24" s="53"/>
      <c r="Z24" s="38" t="s">
        <v>2</v>
      </c>
      <c r="AA24" s="38"/>
      <c r="AB24" s="56"/>
      <c r="AC24" s="38"/>
      <c r="AD24" s="38"/>
      <c r="AE24" s="53"/>
      <c r="AF24" s="38" t="s">
        <v>2</v>
      </c>
      <c r="AG24" s="38"/>
      <c r="AH24" s="56"/>
      <c r="AI24" s="53"/>
      <c r="AJ24" s="38" t="s">
        <v>2</v>
      </c>
      <c r="AK24" s="38"/>
      <c r="AL24" s="56"/>
      <c r="AM24" s="53"/>
      <c r="AN24" s="38" t="s">
        <v>2</v>
      </c>
      <c r="AP24" s="56"/>
      <c r="AS24" s="53"/>
      <c r="AT24" s="38" t="s">
        <v>2</v>
      </c>
      <c r="AU24" s="38"/>
      <c r="AV24" s="56"/>
      <c r="AW24" s="53"/>
      <c r="AX24" s="38" t="s">
        <v>2</v>
      </c>
      <c r="AY24" s="38"/>
      <c r="AZ24" s="56"/>
      <c r="BA24" s="53"/>
      <c r="BB24" s="38"/>
      <c r="BC24" s="38" t="s">
        <v>2</v>
      </c>
      <c r="BD24" s="56"/>
    </row>
    <row r="25" spans="3:56" ht="12" customHeight="1" x14ac:dyDescent="0.2">
      <c r="C25" s="59"/>
      <c r="D25" s="39" t="s">
        <v>3</v>
      </c>
      <c r="E25" s="39"/>
      <c r="F25" s="60"/>
      <c r="G25" s="59"/>
      <c r="H25" s="39" t="s">
        <v>3</v>
      </c>
      <c r="I25" s="39"/>
      <c r="J25" s="60"/>
      <c r="K25" s="59"/>
      <c r="L25" s="39" t="s">
        <v>3</v>
      </c>
      <c r="M25" s="39"/>
      <c r="N25" s="60"/>
      <c r="O25" s="38"/>
      <c r="P25" s="38"/>
      <c r="Q25" s="59"/>
      <c r="R25" s="39" t="s">
        <v>3</v>
      </c>
      <c r="S25" s="39"/>
      <c r="T25" s="60"/>
      <c r="U25" s="59"/>
      <c r="V25" s="39" t="s">
        <v>3</v>
      </c>
      <c r="W25" s="39"/>
      <c r="X25" s="60"/>
      <c r="Y25" s="59"/>
      <c r="Z25" s="39" t="s">
        <v>3</v>
      </c>
      <c r="AA25" s="39"/>
      <c r="AB25" s="60"/>
      <c r="AC25" s="38"/>
      <c r="AD25" s="38"/>
      <c r="AE25" s="59"/>
      <c r="AF25" s="39" t="s">
        <v>3</v>
      </c>
      <c r="AG25" s="39"/>
      <c r="AH25" s="60"/>
      <c r="AI25" s="59"/>
      <c r="AJ25" s="39" t="s">
        <v>3</v>
      </c>
      <c r="AK25" s="39"/>
      <c r="AL25" s="60"/>
      <c r="AM25" s="59"/>
      <c r="AN25" s="39" t="s">
        <v>3</v>
      </c>
      <c r="AP25" s="60"/>
      <c r="AS25" s="59"/>
      <c r="AT25" s="39" t="s">
        <v>3</v>
      </c>
      <c r="AU25" s="39"/>
      <c r="AV25" s="60"/>
      <c r="AW25" s="59"/>
      <c r="AX25" s="39" t="s">
        <v>3</v>
      </c>
      <c r="AY25" s="39"/>
      <c r="AZ25" s="60"/>
      <c r="BA25" s="59"/>
      <c r="BB25" s="39"/>
      <c r="BC25" s="39" t="s">
        <v>3</v>
      </c>
      <c r="BD25" s="60"/>
    </row>
    <row r="26" spans="3:56" ht="12" customHeight="1" x14ac:dyDescent="0.2">
      <c r="C26" s="50"/>
      <c r="D26" s="40" t="s">
        <v>0</v>
      </c>
      <c r="E26" s="52"/>
      <c r="F26" s="40" t="s">
        <v>0</v>
      </c>
      <c r="G26" s="40"/>
      <c r="H26" s="52"/>
      <c r="I26" s="40" t="s">
        <v>0</v>
      </c>
      <c r="J26" s="40"/>
      <c r="K26" s="52"/>
      <c r="L26" s="40" t="s">
        <v>0</v>
      </c>
      <c r="M26" s="40"/>
      <c r="N26" s="52"/>
      <c r="O26" s="38"/>
      <c r="P26" s="38"/>
      <c r="Q26" s="50"/>
      <c r="R26" s="40" t="s">
        <v>0</v>
      </c>
      <c r="S26" s="52"/>
      <c r="T26" s="40" t="s">
        <v>0</v>
      </c>
      <c r="U26" s="40"/>
      <c r="V26" s="52"/>
      <c r="W26" s="40" t="s">
        <v>0</v>
      </c>
      <c r="X26" s="40"/>
      <c r="Y26" s="52"/>
      <c r="Z26" s="40" t="s">
        <v>0</v>
      </c>
      <c r="AA26" s="40"/>
      <c r="AB26" s="52"/>
      <c r="AC26" s="38"/>
      <c r="AD26" s="38"/>
      <c r="AE26" s="50"/>
      <c r="AF26" s="40" t="s">
        <v>0</v>
      </c>
      <c r="AG26" s="52"/>
      <c r="AH26" s="40" t="s">
        <v>0</v>
      </c>
      <c r="AI26" s="40"/>
      <c r="AJ26" s="52"/>
      <c r="AK26" s="40" t="s">
        <v>0</v>
      </c>
      <c r="AL26" s="40"/>
      <c r="AM26" s="52"/>
      <c r="AN26" s="40" t="s">
        <v>0</v>
      </c>
      <c r="AP26" s="52"/>
      <c r="AS26" s="74"/>
      <c r="AT26" s="40" t="s">
        <v>0</v>
      </c>
      <c r="AU26" s="52"/>
      <c r="AV26" s="40" t="s">
        <v>0</v>
      </c>
      <c r="AW26" s="40"/>
      <c r="AX26" s="52"/>
      <c r="AY26" s="40" t="s">
        <v>0</v>
      </c>
      <c r="AZ26" s="40"/>
      <c r="BA26" s="52"/>
      <c r="BB26" s="50"/>
      <c r="BC26" s="40" t="s">
        <v>0</v>
      </c>
      <c r="BD26" s="51"/>
    </row>
    <row r="27" spans="3:56" ht="12" customHeight="1" x14ac:dyDescent="0.2">
      <c r="C27" s="53"/>
      <c r="D27" s="38" t="s">
        <v>1</v>
      </c>
      <c r="E27" s="56"/>
      <c r="F27" s="38" t="s">
        <v>1</v>
      </c>
      <c r="G27" s="38"/>
      <c r="H27" s="56"/>
      <c r="I27" s="38" t="s">
        <v>1</v>
      </c>
      <c r="J27" s="38"/>
      <c r="K27" s="56"/>
      <c r="L27" s="38" t="s">
        <v>1</v>
      </c>
      <c r="M27" s="38"/>
      <c r="N27" s="56"/>
      <c r="O27" s="38"/>
      <c r="P27" s="38"/>
      <c r="Q27" s="53"/>
      <c r="R27" s="38" t="s">
        <v>1</v>
      </c>
      <c r="S27" s="56"/>
      <c r="T27" s="38" t="s">
        <v>1</v>
      </c>
      <c r="U27" s="38"/>
      <c r="V27" s="56"/>
      <c r="W27" s="38" t="s">
        <v>1</v>
      </c>
      <c r="X27" s="38"/>
      <c r="Y27" s="56"/>
      <c r="Z27" s="38" t="s">
        <v>1</v>
      </c>
      <c r="AA27" s="38"/>
      <c r="AB27" s="56"/>
      <c r="AC27" s="38"/>
      <c r="AD27" s="38"/>
      <c r="AE27" s="53"/>
      <c r="AF27" s="38" t="s">
        <v>1</v>
      </c>
      <c r="AG27" s="56"/>
      <c r="AH27" s="38" t="s">
        <v>1</v>
      </c>
      <c r="AI27" s="38"/>
      <c r="AJ27" s="56"/>
      <c r="AK27" s="38" t="s">
        <v>1</v>
      </c>
      <c r="AL27" s="38"/>
      <c r="AM27" s="56"/>
      <c r="AN27" s="38" t="s">
        <v>1</v>
      </c>
      <c r="AP27" s="56"/>
      <c r="AS27" s="73"/>
      <c r="AT27" s="38" t="s">
        <v>1</v>
      </c>
      <c r="AU27" s="56"/>
      <c r="AV27" s="38" t="s">
        <v>1</v>
      </c>
      <c r="AW27" s="38"/>
      <c r="AX27" s="56"/>
      <c r="AY27" s="38" t="s">
        <v>1</v>
      </c>
      <c r="AZ27" s="38"/>
      <c r="BA27" s="56"/>
      <c r="BB27" s="53"/>
      <c r="BC27" s="38" t="s">
        <v>1</v>
      </c>
      <c r="BD27" s="54"/>
    </row>
    <row r="28" spans="3:56" ht="12" customHeight="1" x14ac:dyDescent="0.2">
      <c r="C28" s="53"/>
      <c r="D28" s="38" t="s">
        <v>2</v>
      </c>
      <c r="E28" s="56"/>
      <c r="F28" s="38" t="s">
        <v>2</v>
      </c>
      <c r="G28" s="38"/>
      <c r="H28" s="56"/>
      <c r="I28" s="38" t="s">
        <v>2</v>
      </c>
      <c r="J28" s="38"/>
      <c r="K28" s="56"/>
      <c r="L28" s="38" t="s">
        <v>2</v>
      </c>
      <c r="M28" s="38"/>
      <c r="N28" s="56"/>
      <c r="O28" s="38"/>
      <c r="P28" s="38"/>
      <c r="Q28" s="53"/>
      <c r="R28" s="38" t="s">
        <v>2</v>
      </c>
      <c r="S28" s="56"/>
      <c r="T28" s="38" t="s">
        <v>2</v>
      </c>
      <c r="U28" s="38"/>
      <c r="V28" s="56"/>
      <c r="W28" s="38" t="s">
        <v>2</v>
      </c>
      <c r="X28" s="38"/>
      <c r="Y28" s="56"/>
      <c r="Z28" s="38" t="s">
        <v>2</v>
      </c>
      <c r="AA28" s="38"/>
      <c r="AB28" s="56"/>
      <c r="AC28" s="38"/>
      <c r="AD28" s="38"/>
      <c r="AE28" s="53"/>
      <c r="AF28" s="38" t="s">
        <v>2</v>
      </c>
      <c r="AG28" s="56"/>
      <c r="AH28" s="38" t="s">
        <v>2</v>
      </c>
      <c r="AI28" s="38"/>
      <c r="AJ28" s="56"/>
      <c r="AK28" s="38" t="s">
        <v>2</v>
      </c>
      <c r="AL28" s="38"/>
      <c r="AM28" s="56"/>
      <c r="AN28" s="38" t="s">
        <v>2</v>
      </c>
      <c r="AP28" s="56"/>
      <c r="AS28" s="73"/>
      <c r="AT28" s="38" t="s">
        <v>2</v>
      </c>
      <c r="AU28" s="56"/>
      <c r="AV28" s="38" t="s">
        <v>2</v>
      </c>
      <c r="AW28" s="38"/>
      <c r="AX28" s="56"/>
      <c r="AY28" s="38" t="s">
        <v>2</v>
      </c>
      <c r="AZ28" s="38"/>
      <c r="BA28" s="56"/>
      <c r="BB28" s="53"/>
      <c r="BC28" s="38" t="s">
        <v>2</v>
      </c>
      <c r="BD28" s="54"/>
    </row>
    <row r="29" spans="3:56" ht="12" customHeight="1" x14ac:dyDescent="0.2">
      <c r="C29" s="59"/>
      <c r="D29" s="39" t="s">
        <v>3</v>
      </c>
      <c r="E29" s="60"/>
      <c r="F29" s="39" t="s">
        <v>3</v>
      </c>
      <c r="G29" s="39"/>
      <c r="H29" s="60"/>
      <c r="I29" s="39" t="s">
        <v>3</v>
      </c>
      <c r="J29" s="39"/>
      <c r="K29" s="60"/>
      <c r="L29" s="39" t="s">
        <v>3</v>
      </c>
      <c r="M29" s="39"/>
      <c r="N29" s="60"/>
      <c r="O29" s="38"/>
      <c r="P29" s="38"/>
      <c r="Q29" s="59"/>
      <c r="R29" s="39" t="s">
        <v>3</v>
      </c>
      <c r="S29" s="60"/>
      <c r="T29" s="39" t="s">
        <v>3</v>
      </c>
      <c r="U29" s="39"/>
      <c r="V29" s="60"/>
      <c r="W29" s="39" t="s">
        <v>3</v>
      </c>
      <c r="X29" s="39"/>
      <c r="Y29" s="60"/>
      <c r="Z29" s="39" t="s">
        <v>3</v>
      </c>
      <c r="AA29" s="39"/>
      <c r="AB29" s="60"/>
      <c r="AC29" s="38"/>
      <c r="AD29" s="38"/>
      <c r="AE29" s="59"/>
      <c r="AF29" s="39" t="s">
        <v>3</v>
      </c>
      <c r="AG29" s="60"/>
      <c r="AH29" s="39" t="s">
        <v>3</v>
      </c>
      <c r="AI29" s="39"/>
      <c r="AJ29" s="60"/>
      <c r="AK29" s="39" t="s">
        <v>3</v>
      </c>
      <c r="AL29" s="39"/>
      <c r="AM29" s="60"/>
      <c r="AN29" s="39" t="s">
        <v>3</v>
      </c>
      <c r="AP29" s="60"/>
      <c r="AS29" s="76"/>
      <c r="AT29" s="77" t="s">
        <v>3</v>
      </c>
      <c r="AU29" s="78"/>
      <c r="AV29" s="77" t="s">
        <v>3</v>
      </c>
      <c r="AW29" s="77"/>
      <c r="AX29" s="78"/>
      <c r="AY29" s="77" t="s">
        <v>3</v>
      </c>
      <c r="AZ29" s="77"/>
      <c r="BA29" s="78"/>
      <c r="BB29" s="79"/>
      <c r="BC29" s="77" t="s">
        <v>3</v>
      </c>
      <c r="BD29" s="80"/>
    </row>
    <row r="31" spans="3:56" ht="12" customHeight="1" x14ac:dyDescent="0.2">
      <c r="C31" s="134" t="s">
        <v>45</v>
      </c>
      <c r="D31" s="134"/>
      <c r="E31" s="134"/>
      <c r="F31" s="134"/>
      <c r="G31" s="134"/>
      <c r="H31" s="37"/>
      <c r="I31" s="37"/>
      <c r="J31" s="37"/>
      <c r="K31" s="37"/>
      <c r="L31" s="37"/>
      <c r="M31" s="37"/>
      <c r="N31" s="37"/>
    </row>
    <row r="32" spans="3:56" ht="12" customHeight="1" x14ac:dyDescent="0.2">
      <c r="C32" s="135"/>
      <c r="D32" s="135"/>
      <c r="E32" s="135"/>
      <c r="F32" s="135"/>
      <c r="G32" s="135"/>
    </row>
    <row r="33" spans="3:56" ht="12" customHeight="1" thickBot="1" x14ac:dyDescent="0.25">
      <c r="C33" s="50"/>
      <c r="D33" s="40" t="s">
        <v>0</v>
      </c>
      <c r="E33" s="40"/>
      <c r="F33" s="51"/>
      <c r="G33" s="40"/>
      <c r="H33" s="40" t="s">
        <v>0</v>
      </c>
      <c r="I33" s="40"/>
      <c r="J33" s="51"/>
      <c r="K33" s="40"/>
      <c r="L33" s="40" t="s">
        <v>0</v>
      </c>
      <c r="M33" s="40"/>
      <c r="N33" s="52"/>
      <c r="O33" s="38"/>
      <c r="P33" s="38"/>
      <c r="Q33" s="50"/>
      <c r="R33" s="40" t="s">
        <v>0</v>
      </c>
      <c r="S33" s="40"/>
      <c r="T33" s="51"/>
      <c r="U33" s="40"/>
      <c r="V33" s="40" t="s">
        <v>0</v>
      </c>
      <c r="W33" s="40"/>
      <c r="X33" s="51"/>
      <c r="Y33" s="40"/>
      <c r="Z33" s="40" t="s">
        <v>0</v>
      </c>
      <c r="AA33" s="40"/>
      <c r="AB33" s="52"/>
      <c r="AC33" s="38"/>
      <c r="AD33" s="38"/>
      <c r="AE33" s="50"/>
      <c r="AF33" s="40" t="s">
        <v>0</v>
      </c>
      <c r="AG33" s="40"/>
      <c r="AH33" s="51"/>
      <c r="AI33" s="40"/>
      <c r="AJ33" s="40" t="s">
        <v>0</v>
      </c>
      <c r="AK33" s="40"/>
      <c r="AL33" s="51"/>
      <c r="AM33" s="74"/>
      <c r="AN33" s="40" t="s">
        <v>0</v>
      </c>
      <c r="AP33" s="52"/>
      <c r="AS33" s="50"/>
      <c r="AT33" s="40" t="s">
        <v>0</v>
      </c>
      <c r="AU33" s="40"/>
      <c r="AV33" s="51"/>
      <c r="AW33" s="40"/>
      <c r="AX33" s="40" t="s">
        <v>0</v>
      </c>
      <c r="AY33" s="40"/>
      <c r="AZ33" s="51"/>
      <c r="BA33" s="74"/>
      <c r="BB33" s="40"/>
      <c r="BC33" s="40" t="s">
        <v>0</v>
      </c>
      <c r="BD33" s="52"/>
    </row>
    <row r="34" spans="3:56" ht="12" customHeight="1" x14ac:dyDescent="0.2">
      <c r="C34" s="53"/>
      <c r="D34" s="38" t="s">
        <v>1</v>
      </c>
      <c r="E34" s="38"/>
      <c r="F34" s="54"/>
      <c r="G34" s="41"/>
      <c r="H34" s="41" t="s">
        <v>1</v>
      </c>
      <c r="I34" s="41"/>
      <c r="J34" s="55"/>
      <c r="K34" s="38"/>
      <c r="L34" s="38" t="s">
        <v>1</v>
      </c>
      <c r="M34" s="38"/>
      <c r="N34" s="56"/>
      <c r="O34" s="38"/>
      <c r="P34" s="38"/>
      <c r="Q34" s="53"/>
      <c r="R34" s="38" t="s">
        <v>1</v>
      </c>
      <c r="S34" s="38"/>
      <c r="T34" s="54"/>
      <c r="U34" s="41"/>
      <c r="V34" s="41" t="s">
        <v>1</v>
      </c>
      <c r="W34" s="41"/>
      <c r="X34" s="55"/>
      <c r="Y34" s="38"/>
      <c r="Z34" s="38" t="s">
        <v>1</v>
      </c>
      <c r="AA34" s="38"/>
      <c r="AB34" s="56"/>
      <c r="AC34" s="38"/>
      <c r="AD34" s="38"/>
      <c r="AE34" s="53"/>
      <c r="AF34" s="38" t="s">
        <v>1</v>
      </c>
      <c r="AG34" s="38"/>
      <c r="AH34" s="54"/>
      <c r="AI34" s="41"/>
      <c r="AJ34" s="41" t="s">
        <v>1</v>
      </c>
      <c r="AK34" s="41"/>
      <c r="AL34" s="55"/>
      <c r="AM34" s="73"/>
      <c r="AN34" s="38" t="s">
        <v>1</v>
      </c>
      <c r="AP34" s="56"/>
      <c r="AS34" s="53"/>
      <c r="AT34" s="38" t="s">
        <v>1</v>
      </c>
      <c r="AU34" s="38"/>
      <c r="AV34" s="54"/>
      <c r="AW34" s="41"/>
      <c r="AX34" s="41" t="s">
        <v>1</v>
      </c>
      <c r="AY34" s="41"/>
      <c r="AZ34" s="55"/>
      <c r="BA34" s="73"/>
      <c r="BB34" s="38"/>
      <c r="BC34" s="38" t="s">
        <v>1</v>
      </c>
      <c r="BD34" s="56"/>
    </row>
    <row r="35" spans="3:56" ht="12" customHeight="1" x14ac:dyDescent="0.2">
      <c r="C35" s="53"/>
      <c r="D35" s="38" t="s">
        <v>2</v>
      </c>
      <c r="E35" s="38"/>
      <c r="F35" s="54"/>
      <c r="G35" s="38"/>
      <c r="H35" s="38" t="s">
        <v>2</v>
      </c>
      <c r="I35" s="38"/>
      <c r="J35" s="54"/>
      <c r="K35" s="38"/>
      <c r="L35" s="38" t="s">
        <v>2</v>
      </c>
      <c r="M35" s="38"/>
      <c r="N35" s="56"/>
      <c r="O35" s="38"/>
      <c r="P35" s="38"/>
      <c r="Q35" s="53"/>
      <c r="R35" s="38" t="s">
        <v>2</v>
      </c>
      <c r="S35" s="38"/>
      <c r="T35" s="54"/>
      <c r="U35" s="38"/>
      <c r="V35" s="38" t="s">
        <v>2</v>
      </c>
      <c r="W35" s="38"/>
      <c r="X35" s="54"/>
      <c r="Y35" s="38"/>
      <c r="Z35" s="38" t="s">
        <v>2</v>
      </c>
      <c r="AA35" s="38"/>
      <c r="AB35" s="56"/>
      <c r="AC35" s="38"/>
      <c r="AD35" s="38"/>
      <c r="AE35" s="53"/>
      <c r="AF35" s="38" t="s">
        <v>2</v>
      </c>
      <c r="AG35" s="38"/>
      <c r="AH35" s="54"/>
      <c r="AI35" s="38"/>
      <c r="AJ35" s="38" t="s">
        <v>2</v>
      </c>
      <c r="AK35" s="38"/>
      <c r="AL35" s="54"/>
      <c r="AM35" s="73"/>
      <c r="AN35" s="38" t="s">
        <v>2</v>
      </c>
      <c r="AP35" s="56"/>
      <c r="AS35" s="53"/>
      <c r="AT35" s="38" t="s">
        <v>2</v>
      </c>
      <c r="AU35" s="38"/>
      <c r="AV35" s="54"/>
      <c r="AW35" s="38"/>
      <c r="AX35" s="38" t="s">
        <v>2</v>
      </c>
      <c r="AY35" s="38"/>
      <c r="AZ35" s="54"/>
      <c r="BA35" s="73"/>
      <c r="BB35" s="38"/>
      <c r="BC35" s="38" t="s">
        <v>2</v>
      </c>
      <c r="BD35" s="56"/>
    </row>
    <row r="36" spans="3:56" ht="12" customHeight="1" thickBot="1" x14ac:dyDescent="0.25">
      <c r="C36" s="53"/>
      <c r="D36" s="38" t="s">
        <v>3</v>
      </c>
      <c r="E36" s="38"/>
      <c r="F36" s="57"/>
      <c r="G36" s="42"/>
      <c r="H36" s="42" t="s">
        <v>3</v>
      </c>
      <c r="I36" s="42"/>
      <c r="J36" s="58"/>
      <c r="K36" s="38"/>
      <c r="L36" s="38" t="s">
        <v>3</v>
      </c>
      <c r="M36" s="38"/>
      <c r="N36" s="56"/>
      <c r="O36" s="38"/>
      <c r="P36" s="38"/>
      <c r="Q36" s="53"/>
      <c r="R36" s="38" t="s">
        <v>3</v>
      </c>
      <c r="S36" s="38"/>
      <c r="T36" s="57"/>
      <c r="U36" s="42"/>
      <c r="V36" s="42" t="s">
        <v>3</v>
      </c>
      <c r="W36" s="42"/>
      <c r="X36" s="58"/>
      <c r="Y36" s="38"/>
      <c r="Z36" s="38" t="s">
        <v>3</v>
      </c>
      <c r="AA36" s="38"/>
      <c r="AB36" s="56"/>
      <c r="AC36" s="38"/>
      <c r="AD36" s="38"/>
      <c r="AE36" s="53"/>
      <c r="AF36" s="38" t="s">
        <v>3</v>
      </c>
      <c r="AG36" s="38"/>
      <c r="AH36" s="57"/>
      <c r="AI36" s="42"/>
      <c r="AJ36" s="42" t="s">
        <v>3</v>
      </c>
      <c r="AK36" s="42"/>
      <c r="AL36" s="58"/>
      <c r="AM36" s="75"/>
      <c r="AN36" s="38" t="s">
        <v>3</v>
      </c>
      <c r="AP36" s="56"/>
      <c r="AS36" s="53"/>
      <c r="AT36" s="38" t="s">
        <v>3</v>
      </c>
      <c r="AU36" s="38"/>
      <c r="AV36" s="57"/>
      <c r="AW36" s="42"/>
      <c r="AX36" s="42" t="s">
        <v>3</v>
      </c>
      <c r="AY36" s="42"/>
      <c r="AZ36" s="58"/>
      <c r="BA36" s="75"/>
      <c r="BB36" s="38"/>
      <c r="BC36" s="38" t="s">
        <v>3</v>
      </c>
      <c r="BD36" s="56"/>
    </row>
    <row r="37" spans="3:56" ht="12" customHeight="1" x14ac:dyDescent="0.2">
      <c r="C37" s="50"/>
      <c r="D37" s="40" t="s">
        <v>0</v>
      </c>
      <c r="E37" s="40"/>
      <c r="F37" s="52"/>
      <c r="G37" s="53"/>
      <c r="H37" s="40" t="s">
        <v>0</v>
      </c>
      <c r="I37" s="38"/>
      <c r="J37" s="54"/>
      <c r="K37" s="40"/>
      <c r="L37" s="40" t="s">
        <v>0</v>
      </c>
      <c r="M37" s="40"/>
      <c r="N37" s="52"/>
      <c r="O37" s="38"/>
      <c r="P37" s="38"/>
      <c r="Q37" s="50"/>
      <c r="R37" s="40" t="s">
        <v>0</v>
      </c>
      <c r="S37" s="40"/>
      <c r="T37" s="52"/>
      <c r="U37" s="53"/>
      <c r="V37" s="40" t="s">
        <v>0</v>
      </c>
      <c r="W37" s="38"/>
      <c r="X37" s="54"/>
      <c r="Y37" s="40"/>
      <c r="Z37" s="40" t="s">
        <v>0</v>
      </c>
      <c r="AA37" s="40"/>
      <c r="AB37" s="52"/>
      <c r="AC37" s="38"/>
      <c r="AD37" s="38"/>
      <c r="AE37" s="50"/>
      <c r="AF37" s="40" t="s">
        <v>0</v>
      </c>
      <c r="AG37" s="40"/>
      <c r="AH37" s="52"/>
      <c r="AI37" s="53"/>
      <c r="AJ37" s="40" t="s">
        <v>0</v>
      </c>
      <c r="AK37" s="38"/>
      <c r="AL37" s="54"/>
      <c r="AM37" s="40"/>
      <c r="AN37" s="40" t="s">
        <v>0</v>
      </c>
      <c r="AP37" s="52"/>
      <c r="AS37" s="50"/>
      <c r="AT37" s="40" t="s">
        <v>0</v>
      </c>
      <c r="AU37" s="40"/>
      <c r="AV37" s="52"/>
      <c r="AW37" s="53"/>
      <c r="AX37" s="40" t="s">
        <v>0</v>
      </c>
      <c r="AY37" s="38"/>
      <c r="AZ37" s="54"/>
      <c r="BA37" s="40"/>
      <c r="BB37" s="40"/>
      <c r="BC37" s="40" t="s">
        <v>0</v>
      </c>
      <c r="BD37" s="52"/>
    </row>
    <row r="38" spans="3:56" ht="12" customHeight="1" x14ac:dyDescent="0.2">
      <c r="C38" s="53"/>
      <c r="D38" s="38" t="s">
        <v>1</v>
      </c>
      <c r="E38" s="38"/>
      <c r="F38" s="56"/>
      <c r="G38" s="53"/>
      <c r="H38" s="38" t="s">
        <v>1</v>
      </c>
      <c r="I38" s="38"/>
      <c r="J38" s="56"/>
      <c r="K38" s="53"/>
      <c r="L38" s="38" t="s">
        <v>1</v>
      </c>
      <c r="M38" s="38"/>
      <c r="N38" s="56"/>
      <c r="O38" s="38"/>
      <c r="P38" s="38"/>
      <c r="Q38" s="53"/>
      <c r="R38" s="38" t="s">
        <v>1</v>
      </c>
      <c r="S38" s="38"/>
      <c r="T38" s="56"/>
      <c r="U38" s="53"/>
      <c r="V38" s="38" t="s">
        <v>1</v>
      </c>
      <c r="W38" s="38"/>
      <c r="X38" s="56"/>
      <c r="Y38" s="53"/>
      <c r="Z38" s="38" t="s">
        <v>1</v>
      </c>
      <c r="AA38" s="38"/>
      <c r="AB38" s="56"/>
      <c r="AC38" s="38"/>
      <c r="AD38" s="38"/>
      <c r="AE38" s="53"/>
      <c r="AF38" s="38" t="s">
        <v>1</v>
      </c>
      <c r="AG38" s="38"/>
      <c r="AH38" s="56"/>
      <c r="AI38" s="53"/>
      <c r="AJ38" s="38" t="s">
        <v>1</v>
      </c>
      <c r="AK38" s="38"/>
      <c r="AL38" s="56"/>
      <c r="AM38" s="53"/>
      <c r="AN38" s="38" t="s">
        <v>1</v>
      </c>
      <c r="AP38" s="56"/>
      <c r="AS38" s="53"/>
      <c r="AT38" s="38" t="s">
        <v>1</v>
      </c>
      <c r="AU38" s="38"/>
      <c r="AV38" s="56"/>
      <c r="AW38" s="53"/>
      <c r="AX38" s="38" t="s">
        <v>1</v>
      </c>
      <c r="AY38" s="38"/>
      <c r="AZ38" s="56"/>
      <c r="BA38" s="53"/>
      <c r="BB38" s="38"/>
      <c r="BC38" s="38" t="s">
        <v>1</v>
      </c>
      <c r="BD38" s="56"/>
    </row>
    <row r="39" spans="3:56" ht="12" customHeight="1" x14ac:dyDescent="0.2">
      <c r="C39" s="53"/>
      <c r="D39" s="38" t="s">
        <v>2</v>
      </c>
      <c r="E39" s="38"/>
      <c r="F39" s="56"/>
      <c r="G39" s="53"/>
      <c r="H39" s="38" t="s">
        <v>2</v>
      </c>
      <c r="I39" s="38"/>
      <c r="J39" s="56"/>
      <c r="K39" s="53"/>
      <c r="L39" s="38" t="s">
        <v>2</v>
      </c>
      <c r="M39" s="38"/>
      <c r="N39" s="56"/>
      <c r="O39" s="38"/>
      <c r="P39" s="38"/>
      <c r="Q39" s="53"/>
      <c r="R39" s="38" t="s">
        <v>2</v>
      </c>
      <c r="S39" s="38"/>
      <c r="T39" s="56"/>
      <c r="U39" s="53"/>
      <c r="V39" s="38" t="s">
        <v>2</v>
      </c>
      <c r="W39" s="38"/>
      <c r="X39" s="56"/>
      <c r="Y39" s="53"/>
      <c r="Z39" s="38" t="s">
        <v>2</v>
      </c>
      <c r="AA39" s="38"/>
      <c r="AB39" s="56"/>
      <c r="AC39" s="38"/>
      <c r="AD39" s="38"/>
      <c r="AE39" s="53"/>
      <c r="AF39" s="38" t="s">
        <v>2</v>
      </c>
      <c r="AG39" s="38"/>
      <c r="AH39" s="56"/>
      <c r="AI39" s="53"/>
      <c r="AJ39" s="38" t="s">
        <v>2</v>
      </c>
      <c r="AK39" s="38"/>
      <c r="AL39" s="56"/>
      <c r="AM39" s="53"/>
      <c r="AN39" s="38" t="s">
        <v>2</v>
      </c>
      <c r="AP39" s="56"/>
      <c r="AS39" s="53"/>
      <c r="AT39" s="38" t="s">
        <v>2</v>
      </c>
      <c r="AU39" s="38"/>
      <c r="AV39" s="56"/>
      <c r="AW39" s="53"/>
      <c r="AX39" s="38" t="s">
        <v>2</v>
      </c>
      <c r="AY39" s="38"/>
      <c r="AZ39" s="56"/>
      <c r="BA39" s="53"/>
      <c r="BB39" s="38"/>
      <c r="BC39" s="38" t="s">
        <v>2</v>
      </c>
      <c r="BD39" s="56"/>
    </row>
    <row r="40" spans="3:56" ht="12" customHeight="1" x14ac:dyDescent="0.2">
      <c r="C40" s="59"/>
      <c r="D40" s="39" t="s">
        <v>3</v>
      </c>
      <c r="E40" s="39"/>
      <c r="F40" s="60"/>
      <c r="G40" s="59"/>
      <c r="H40" s="39" t="s">
        <v>3</v>
      </c>
      <c r="I40" s="39"/>
      <c r="J40" s="60"/>
      <c r="K40" s="59"/>
      <c r="L40" s="39" t="s">
        <v>3</v>
      </c>
      <c r="M40" s="39"/>
      <c r="N40" s="60"/>
      <c r="O40" s="38"/>
      <c r="P40" s="38"/>
      <c r="Q40" s="59"/>
      <c r="R40" s="39" t="s">
        <v>3</v>
      </c>
      <c r="S40" s="39"/>
      <c r="T40" s="60"/>
      <c r="U40" s="59"/>
      <c r="V40" s="39" t="s">
        <v>3</v>
      </c>
      <c r="W40" s="39"/>
      <c r="X40" s="60"/>
      <c r="Y40" s="59"/>
      <c r="Z40" s="39" t="s">
        <v>3</v>
      </c>
      <c r="AA40" s="39"/>
      <c r="AB40" s="60"/>
      <c r="AC40" s="38"/>
      <c r="AD40" s="38"/>
      <c r="AE40" s="59"/>
      <c r="AF40" s="39" t="s">
        <v>3</v>
      </c>
      <c r="AG40" s="39"/>
      <c r="AH40" s="60"/>
      <c r="AI40" s="59"/>
      <c r="AJ40" s="39" t="s">
        <v>3</v>
      </c>
      <c r="AK40" s="39"/>
      <c r="AL40" s="60"/>
      <c r="AM40" s="59"/>
      <c r="AN40" s="39" t="s">
        <v>3</v>
      </c>
      <c r="AP40" s="60"/>
      <c r="AS40" s="59"/>
      <c r="AT40" s="39" t="s">
        <v>3</v>
      </c>
      <c r="AU40" s="39"/>
      <c r="AV40" s="60"/>
      <c r="AW40" s="59"/>
      <c r="AX40" s="39" t="s">
        <v>3</v>
      </c>
      <c r="AY40" s="39"/>
      <c r="AZ40" s="60"/>
      <c r="BA40" s="59"/>
      <c r="BB40" s="39"/>
      <c r="BC40" s="39" t="s">
        <v>3</v>
      </c>
      <c r="BD40" s="60"/>
    </row>
    <row r="41" spans="3:56" ht="12" customHeight="1" x14ac:dyDescent="0.2">
      <c r="C41" s="50"/>
      <c r="D41" s="40" t="s">
        <v>0</v>
      </c>
      <c r="E41" s="52"/>
      <c r="F41" s="40" t="s">
        <v>0</v>
      </c>
      <c r="G41" s="40"/>
      <c r="H41" s="52"/>
      <c r="I41" s="40" t="s">
        <v>0</v>
      </c>
      <c r="J41" s="40"/>
      <c r="K41" s="52"/>
      <c r="L41" s="40" t="s">
        <v>0</v>
      </c>
      <c r="M41" s="40"/>
      <c r="N41" s="52"/>
      <c r="O41" s="38"/>
      <c r="P41" s="38"/>
      <c r="Q41" s="50"/>
      <c r="R41" s="40" t="s">
        <v>0</v>
      </c>
      <c r="S41" s="52"/>
      <c r="T41" s="40" t="s">
        <v>0</v>
      </c>
      <c r="U41" s="40"/>
      <c r="V41" s="52"/>
      <c r="W41" s="40" t="s">
        <v>0</v>
      </c>
      <c r="X41" s="40">
        <v>1</v>
      </c>
      <c r="Y41" s="52"/>
      <c r="Z41" s="40" t="s">
        <v>0</v>
      </c>
      <c r="AA41" s="40"/>
      <c r="AB41" s="52"/>
      <c r="AC41" s="38"/>
      <c r="AD41" s="38"/>
      <c r="AE41" s="50"/>
      <c r="AF41" s="40" t="s">
        <v>0</v>
      </c>
      <c r="AG41" s="52"/>
      <c r="AH41" s="40" t="s">
        <v>0</v>
      </c>
      <c r="AI41" s="40"/>
      <c r="AJ41" s="52"/>
      <c r="AK41" s="40" t="s">
        <v>0</v>
      </c>
      <c r="AL41" s="40"/>
      <c r="AM41" s="52"/>
      <c r="AN41" s="40" t="s">
        <v>0</v>
      </c>
      <c r="AP41" s="52"/>
      <c r="AS41" s="50"/>
      <c r="AT41" s="40" t="s">
        <v>0</v>
      </c>
      <c r="AU41" s="52"/>
      <c r="AV41" s="40" t="s">
        <v>0</v>
      </c>
      <c r="AW41" s="40"/>
      <c r="AX41" s="52"/>
      <c r="AY41" s="40" t="s">
        <v>0</v>
      </c>
      <c r="AZ41" s="40"/>
      <c r="BA41" s="52"/>
      <c r="BB41" s="50"/>
      <c r="BC41" s="40" t="s">
        <v>0</v>
      </c>
      <c r="BD41" s="52"/>
    </row>
    <row r="42" spans="3:56" ht="12" customHeight="1" x14ac:dyDescent="0.2">
      <c r="C42" s="53"/>
      <c r="D42" s="38" t="s">
        <v>1</v>
      </c>
      <c r="E42" s="56"/>
      <c r="F42" s="38" t="s">
        <v>1</v>
      </c>
      <c r="G42" s="38"/>
      <c r="H42" s="56"/>
      <c r="I42" s="38" t="s">
        <v>1</v>
      </c>
      <c r="J42" s="38"/>
      <c r="K42" s="56"/>
      <c r="L42" s="38" t="s">
        <v>1</v>
      </c>
      <c r="M42" s="38"/>
      <c r="N42" s="56"/>
      <c r="O42" s="38"/>
      <c r="P42" s="38"/>
      <c r="Q42" s="53"/>
      <c r="R42" s="38" t="s">
        <v>1</v>
      </c>
      <c r="S42" s="56"/>
      <c r="T42" s="38" t="s">
        <v>1</v>
      </c>
      <c r="U42" s="38">
        <v>1</v>
      </c>
      <c r="V42" s="56"/>
      <c r="W42" s="38" t="s">
        <v>1</v>
      </c>
      <c r="X42" s="38"/>
      <c r="Y42" s="56"/>
      <c r="Z42" s="38" t="s">
        <v>1</v>
      </c>
      <c r="AA42" s="38"/>
      <c r="AB42" s="56"/>
      <c r="AC42" s="38"/>
      <c r="AD42" s="38"/>
      <c r="AE42" s="53"/>
      <c r="AF42" s="38" t="s">
        <v>1</v>
      </c>
      <c r="AG42" s="56"/>
      <c r="AH42" s="38" t="s">
        <v>1</v>
      </c>
      <c r="AI42" s="38"/>
      <c r="AJ42" s="56"/>
      <c r="AK42" s="38" t="s">
        <v>1</v>
      </c>
      <c r="AL42" s="38"/>
      <c r="AM42" s="56"/>
      <c r="AN42" s="38" t="s">
        <v>1</v>
      </c>
      <c r="AP42" s="56"/>
      <c r="AS42" s="53"/>
      <c r="AT42" s="38" t="s">
        <v>1</v>
      </c>
      <c r="AU42" s="56"/>
      <c r="AV42" s="38" t="s">
        <v>1</v>
      </c>
      <c r="AW42" s="38"/>
      <c r="AX42" s="56"/>
      <c r="AY42" s="38" t="s">
        <v>1</v>
      </c>
      <c r="AZ42" s="38"/>
      <c r="BA42" s="56"/>
      <c r="BB42" s="53"/>
      <c r="BC42" s="38" t="s">
        <v>1</v>
      </c>
      <c r="BD42" s="56"/>
    </row>
    <row r="43" spans="3:56" ht="12" customHeight="1" x14ac:dyDescent="0.2">
      <c r="C43" s="53"/>
      <c r="D43" s="38" t="s">
        <v>2</v>
      </c>
      <c r="E43" s="56"/>
      <c r="F43" s="38" t="s">
        <v>2</v>
      </c>
      <c r="G43" s="38">
        <v>1</v>
      </c>
      <c r="H43" s="56"/>
      <c r="I43" s="38" t="s">
        <v>2</v>
      </c>
      <c r="J43" s="38"/>
      <c r="K43" s="56"/>
      <c r="L43" s="38" t="s">
        <v>2</v>
      </c>
      <c r="M43" s="38"/>
      <c r="N43" s="56"/>
      <c r="O43" s="38"/>
      <c r="P43" s="38"/>
      <c r="Q43" s="53"/>
      <c r="R43" s="38" t="s">
        <v>2</v>
      </c>
      <c r="S43" s="56"/>
      <c r="T43" s="38" t="s">
        <v>2</v>
      </c>
      <c r="U43" s="38"/>
      <c r="V43" s="56"/>
      <c r="W43" s="38" t="s">
        <v>2</v>
      </c>
      <c r="X43" s="38"/>
      <c r="Y43" s="56"/>
      <c r="Z43" s="38" t="s">
        <v>2</v>
      </c>
      <c r="AA43" s="38"/>
      <c r="AB43" s="56"/>
      <c r="AC43" s="38"/>
      <c r="AD43" s="38"/>
      <c r="AE43" s="53"/>
      <c r="AF43" s="38" t="s">
        <v>2</v>
      </c>
      <c r="AG43" s="56"/>
      <c r="AH43" s="38" t="s">
        <v>2</v>
      </c>
      <c r="AI43" s="38"/>
      <c r="AJ43" s="56"/>
      <c r="AK43" s="38" t="s">
        <v>2</v>
      </c>
      <c r="AL43" s="38"/>
      <c r="AM43" s="56"/>
      <c r="AN43" s="38" t="s">
        <v>2</v>
      </c>
      <c r="AP43" s="56"/>
      <c r="AS43" s="53"/>
      <c r="AT43" s="38" t="s">
        <v>2</v>
      </c>
      <c r="AU43" s="56"/>
      <c r="AV43" s="38" t="s">
        <v>2</v>
      </c>
      <c r="AW43" s="38"/>
      <c r="AX43" s="56"/>
      <c r="AY43" s="38" t="s">
        <v>2</v>
      </c>
      <c r="AZ43" s="38"/>
      <c r="BA43" s="56"/>
      <c r="BB43" s="53"/>
      <c r="BC43" s="38" t="s">
        <v>2</v>
      </c>
      <c r="BD43" s="56"/>
    </row>
    <row r="44" spans="3:56" ht="12" customHeight="1" x14ac:dyDescent="0.2">
      <c r="C44" s="59"/>
      <c r="D44" s="39" t="s">
        <v>3</v>
      </c>
      <c r="E44" s="60"/>
      <c r="F44" s="39" t="s">
        <v>3</v>
      </c>
      <c r="G44" s="39"/>
      <c r="H44" s="60"/>
      <c r="I44" s="39" t="s">
        <v>3</v>
      </c>
      <c r="J44" s="39"/>
      <c r="K44" s="60"/>
      <c r="L44" s="39" t="s">
        <v>3</v>
      </c>
      <c r="M44" s="39"/>
      <c r="N44" s="60"/>
      <c r="O44" s="38"/>
      <c r="P44" s="38"/>
      <c r="Q44" s="59"/>
      <c r="R44" s="39" t="s">
        <v>3</v>
      </c>
      <c r="S44" s="60"/>
      <c r="T44" s="39" t="s">
        <v>3</v>
      </c>
      <c r="U44" s="39"/>
      <c r="V44" s="60"/>
      <c r="W44" s="39" t="s">
        <v>3</v>
      </c>
      <c r="X44" s="39">
        <v>1</v>
      </c>
      <c r="Y44" s="60"/>
      <c r="Z44" s="39" t="s">
        <v>3</v>
      </c>
      <c r="AA44" s="39"/>
      <c r="AB44" s="60"/>
      <c r="AC44" s="38"/>
      <c r="AD44" s="38"/>
      <c r="AE44" s="59"/>
      <c r="AF44" s="39" t="s">
        <v>3</v>
      </c>
      <c r="AG44" s="60"/>
      <c r="AH44" s="39" t="s">
        <v>3</v>
      </c>
      <c r="AI44" s="39"/>
      <c r="AJ44" s="60"/>
      <c r="AK44" s="39" t="s">
        <v>3</v>
      </c>
      <c r="AL44" s="39"/>
      <c r="AM44" s="60"/>
      <c r="AN44" s="39" t="s">
        <v>3</v>
      </c>
      <c r="AP44" s="60"/>
      <c r="AS44" s="59"/>
      <c r="AT44" s="39" t="s">
        <v>3</v>
      </c>
      <c r="AU44" s="60"/>
      <c r="AV44" s="39" t="s">
        <v>3</v>
      </c>
      <c r="AW44" s="39"/>
      <c r="AX44" s="60"/>
      <c r="AY44" s="39" t="s">
        <v>3</v>
      </c>
      <c r="AZ44" s="39"/>
      <c r="BA44" s="60"/>
      <c r="BB44" s="59"/>
      <c r="BC44" s="39" t="s">
        <v>3</v>
      </c>
      <c r="BD44" s="60"/>
    </row>
    <row r="46" spans="3:56" ht="12" customHeight="1" x14ac:dyDescent="0.2">
      <c r="C46" s="132" t="s">
        <v>46</v>
      </c>
      <c r="D46" s="132"/>
      <c r="E46" s="132"/>
      <c r="F46" s="132"/>
      <c r="G46" s="132"/>
      <c r="H46" s="43"/>
      <c r="I46" s="43"/>
      <c r="J46" s="43"/>
      <c r="K46" s="43"/>
      <c r="L46" s="43"/>
      <c r="M46" s="43"/>
      <c r="N46" s="43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P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</row>
    <row r="47" spans="3:56" ht="12" customHeight="1" x14ac:dyDescent="0.2">
      <c r="C47" s="133"/>
      <c r="D47" s="133"/>
      <c r="E47" s="133"/>
      <c r="F47" s="133"/>
      <c r="G47" s="133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P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</row>
    <row r="48" spans="3:56" ht="12" customHeight="1" thickBot="1" x14ac:dyDescent="0.25">
      <c r="C48" s="61"/>
      <c r="D48" s="45" t="s">
        <v>0</v>
      </c>
      <c r="E48" s="45"/>
      <c r="F48" s="62"/>
      <c r="G48" s="45"/>
      <c r="H48" s="46" t="s">
        <v>0</v>
      </c>
      <c r="I48" s="46"/>
      <c r="J48" s="63"/>
      <c r="K48" s="46"/>
      <c r="L48" s="46" t="s">
        <v>0</v>
      </c>
      <c r="M48" s="46"/>
      <c r="N48" s="64"/>
      <c r="O48" s="45"/>
      <c r="P48" s="45"/>
      <c r="Q48" s="65"/>
      <c r="R48" s="46" t="s">
        <v>0</v>
      </c>
      <c r="S48" s="46"/>
      <c r="T48" s="63"/>
      <c r="U48" s="46"/>
      <c r="V48" s="46" t="s">
        <v>0</v>
      </c>
      <c r="W48" s="46"/>
      <c r="X48" s="63"/>
      <c r="Y48" s="46"/>
      <c r="Z48" s="46" t="s">
        <v>0</v>
      </c>
      <c r="AA48" s="46"/>
      <c r="AB48" s="64"/>
      <c r="AC48" s="45"/>
      <c r="AD48" s="45"/>
      <c r="AE48" s="65"/>
      <c r="AF48" s="46" t="s">
        <v>0</v>
      </c>
      <c r="AG48" s="46"/>
      <c r="AH48" s="63"/>
      <c r="AI48" s="46"/>
      <c r="AJ48" s="46" t="s">
        <v>0</v>
      </c>
      <c r="AK48" s="46"/>
      <c r="AL48" s="63"/>
      <c r="AM48" s="81"/>
      <c r="AN48" s="46" t="s">
        <v>0</v>
      </c>
      <c r="AP48" s="64"/>
      <c r="AS48" s="65"/>
      <c r="AT48" s="46" t="s">
        <v>0</v>
      </c>
      <c r="AU48" s="46"/>
      <c r="AV48" s="63"/>
      <c r="AW48" s="46"/>
      <c r="AX48" s="46" t="s">
        <v>0</v>
      </c>
      <c r="AY48" s="46"/>
      <c r="AZ48" s="63"/>
      <c r="BA48" s="81"/>
      <c r="BB48" s="46"/>
      <c r="BC48" s="46" t="s">
        <v>0</v>
      </c>
      <c r="BD48" s="64"/>
    </row>
    <row r="49" spans="3:56" ht="12" customHeight="1" x14ac:dyDescent="0.2">
      <c r="C49" s="61"/>
      <c r="D49" s="45" t="s">
        <v>1</v>
      </c>
      <c r="E49" s="45"/>
      <c r="F49" s="62"/>
      <c r="G49" s="47"/>
      <c r="H49" s="47" t="s">
        <v>1</v>
      </c>
      <c r="I49" s="47"/>
      <c r="J49" s="66"/>
      <c r="K49" s="45"/>
      <c r="L49" s="45" t="s">
        <v>1</v>
      </c>
      <c r="M49" s="45"/>
      <c r="N49" s="67"/>
      <c r="O49" s="45"/>
      <c r="P49" s="45"/>
      <c r="Q49" s="61"/>
      <c r="R49" s="45" t="s">
        <v>1</v>
      </c>
      <c r="S49" s="45"/>
      <c r="T49" s="62"/>
      <c r="U49" s="47"/>
      <c r="V49" s="47" t="s">
        <v>1</v>
      </c>
      <c r="W49" s="47"/>
      <c r="X49" s="66"/>
      <c r="Y49" s="45"/>
      <c r="Z49" s="45" t="s">
        <v>1</v>
      </c>
      <c r="AA49" s="45"/>
      <c r="AB49" s="67"/>
      <c r="AC49" s="45"/>
      <c r="AD49" s="45"/>
      <c r="AE49" s="61"/>
      <c r="AF49" s="45" t="s">
        <v>1</v>
      </c>
      <c r="AG49" s="45"/>
      <c r="AH49" s="62"/>
      <c r="AI49" s="47"/>
      <c r="AJ49" s="47" t="s">
        <v>1</v>
      </c>
      <c r="AK49" s="47"/>
      <c r="AL49" s="66"/>
      <c r="AM49" s="82"/>
      <c r="AN49" s="45" t="s">
        <v>1</v>
      </c>
      <c r="AP49" s="67"/>
      <c r="AS49" s="61"/>
      <c r="AT49" s="45" t="s">
        <v>1</v>
      </c>
      <c r="AU49" s="45"/>
      <c r="AV49" s="62"/>
      <c r="AW49" s="47"/>
      <c r="AX49" s="47" t="s">
        <v>1</v>
      </c>
      <c r="AY49" s="47"/>
      <c r="AZ49" s="66"/>
      <c r="BA49" s="82"/>
      <c r="BB49" s="45"/>
      <c r="BC49" s="45" t="s">
        <v>1</v>
      </c>
      <c r="BD49" s="67"/>
    </row>
    <row r="50" spans="3:56" ht="12" customHeight="1" x14ac:dyDescent="0.2">
      <c r="C50" s="61"/>
      <c r="D50" s="45" t="s">
        <v>2</v>
      </c>
      <c r="E50" s="45"/>
      <c r="F50" s="62"/>
      <c r="G50" s="45"/>
      <c r="H50" s="45" t="s">
        <v>2</v>
      </c>
      <c r="I50" s="45"/>
      <c r="J50" s="62"/>
      <c r="K50" s="45"/>
      <c r="L50" s="45" t="s">
        <v>2</v>
      </c>
      <c r="M50" s="45"/>
      <c r="N50" s="67"/>
      <c r="O50" s="45"/>
      <c r="P50" s="45"/>
      <c r="Q50" s="61"/>
      <c r="R50" s="45" t="s">
        <v>2</v>
      </c>
      <c r="S50" s="45"/>
      <c r="T50" s="62"/>
      <c r="U50" s="45"/>
      <c r="V50" s="45" t="s">
        <v>2</v>
      </c>
      <c r="W50" s="45"/>
      <c r="X50" s="62"/>
      <c r="Y50" s="45"/>
      <c r="Z50" s="45" t="s">
        <v>2</v>
      </c>
      <c r="AA50" s="45"/>
      <c r="AB50" s="67"/>
      <c r="AC50" s="45"/>
      <c r="AD50" s="45"/>
      <c r="AE50" s="61"/>
      <c r="AF50" s="45" t="s">
        <v>2</v>
      </c>
      <c r="AG50" s="45"/>
      <c r="AH50" s="62"/>
      <c r="AI50" s="45"/>
      <c r="AJ50" s="45" t="s">
        <v>2</v>
      </c>
      <c r="AK50" s="45"/>
      <c r="AL50" s="62"/>
      <c r="AM50" s="82"/>
      <c r="AN50" s="45" t="s">
        <v>2</v>
      </c>
      <c r="AP50" s="67"/>
      <c r="AS50" s="61"/>
      <c r="AT50" s="45" t="s">
        <v>2</v>
      </c>
      <c r="AU50" s="45"/>
      <c r="AV50" s="62"/>
      <c r="AW50" s="45"/>
      <c r="AX50" s="45" t="s">
        <v>2</v>
      </c>
      <c r="AY50" s="45"/>
      <c r="AZ50" s="62"/>
      <c r="BA50" s="82"/>
      <c r="BB50" s="45"/>
      <c r="BC50" s="45" t="s">
        <v>2</v>
      </c>
      <c r="BD50" s="67"/>
    </row>
    <row r="51" spans="3:56" ht="12" customHeight="1" thickBot="1" x14ac:dyDescent="0.25">
      <c r="C51" s="61"/>
      <c r="D51" s="45" t="s">
        <v>3</v>
      </c>
      <c r="E51" s="45"/>
      <c r="F51" s="68"/>
      <c r="G51" s="48"/>
      <c r="H51" s="48" t="s">
        <v>3</v>
      </c>
      <c r="I51" s="48"/>
      <c r="J51" s="69"/>
      <c r="K51" s="45"/>
      <c r="L51" s="45" t="s">
        <v>3</v>
      </c>
      <c r="M51" s="45"/>
      <c r="N51" s="67"/>
      <c r="O51" s="45"/>
      <c r="P51" s="45"/>
      <c r="Q51" s="61"/>
      <c r="R51" s="45" t="s">
        <v>3</v>
      </c>
      <c r="S51" s="45"/>
      <c r="T51" s="68"/>
      <c r="U51" s="48"/>
      <c r="V51" s="48" t="s">
        <v>3</v>
      </c>
      <c r="W51" s="48"/>
      <c r="X51" s="69"/>
      <c r="Y51" s="45"/>
      <c r="Z51" s="45" t="s">
        <v>3</v>
      </c>
      <c r="AA51" s="45"/>
      <c r="AB51" s="67"/>
      <c r="AC51" s="45"/>
      <c r="AD51" s="45"/>
      <c r="AE51" s="61"/>
      <c r="AF51" s="45" t="s">
        <v>3</v>
      </c>
      <c r="AG51" s="45"/>
      <c r="AH51" s="68"/>
      <c r="AI51" s="48"/>
      <c r="AJ51" s="48" t="s">
        <v>3</v>
      </c>
      <c r="AK51" s="48"/>
      <c r="AL51" s="69"/>
      <c r="AM51" s="83"/>
      <c r="AN51" s="45" t="s">
        <v>3</v>
      </c>
      <c r="AP51" s="67"/>
      <c r="AS51" s="61"/>
      <c r="AT51" s="45" t="s">
        <v>3</v>
      </c>
      <c r="AU51" s="45"/>
      <c r="AV51" s="68"/>
      <c r="AW51" s="48"/>
      <c r="AX51" s="48" t="s">
        <v>3</v>
      </c>
      <c r="AY51" s="48"/>
      <c r="AZ51" s="69"/>
      <c r="BA51" s="83"/>
      <c r="BB51" s="45"/>
      <c r="BC51" s="45" t="s">
        <v>3</v>
      </c>
      <c r="BD51" s="67"/>
    </row>
    <row r="52" spans="3:56" ht="12" customHeight="1" x14ac:dyDescent="0.2">
      <c r="C52" s="65"/>
      <c r="D52" s="46" t="s">
        <v>0</v>
      </c>
      <c r="E52" s="46"/>
      <c r="F52" s="67"/>
      <c r="G52" s="45"/>
      <c r="H52" s="40" t="s">
        <v>0</v>
      </c>
      <c r="I52" s="45"/>
      <c r="J52" s="62"/>
      <c r="K52" s="46"/>
      <c r="L52" s="46" t="s">
        <v>0</v>
      </c>
      <c r="M52" s="46"/>
      <c r="N52" s="64"/>
      <c r="O52" s="45"/>
      <c r="P52" s="45"/>
      <c r="Q52" s="65"/>
      <c r="R52" s="46" t="s">
        <v>0</v>
      </c>
      <c r="S52" s="46"/>
      <c r="T52" s="67"/>
      <c r="U52" s="45"/>
      <c r="V52" s="40" t="s">
        <v>0</v>
      </c>
      <c r="W52" s="45"/>
      <c r="X52" s="62"/>
      <c r="Y52" s="46"/>
      <c r="Z52" s="46" t="s">
        <v>0</v>
      </c>
      <c r="AA52" s="46"/>
      <c r="AB52" s="64"/>
      <c r="AC52" s="45"/>
      <c r="AD52" s="45"/>
      <c r="AE52" s="65"/>
      <c r="AF52" s="46" t="s">
        <v>0</v>
      </c>
      <c r="AG52" s="46"/>
      <c r="AH52" s="67"/>
      <c r="AI52" s="45"/>
      <c r="AJ52" s="40" t="s">
        <v>0</v>
      </c>
      <c r="AK52" s="45"/>
      <c r="AL52" s="62"/>
      <c r="AM52" s="46"/>
      <c r="AN52" s="46" t="s">
        <v>0</v>
      </c>
      <c r="AP52" s="64"/>
      <c r="AS52" s="65"/>
      <c r="AT52" s="46" t="s">
        <v>0</v>
      </c>
      <c r="AU52" s="46"/>
      <c r="AV52" s="67"/>
      <c r="AW52" s="45"/>
      <c r="AX52" s="40" t="s">
        <v>0</v>
      </c>
      <c r="AY52" s="45"/>
      <c r="AZ52" s="62"/>
      <c r="BA52" s="46"/>
      <c r="BB52" s="46"/>
      <c r="BC52" s="46" t="s">
        <v>0</v>
      </c>
      <c r="BD52" s="64"/>
    </row>
    <row r="53" spans="3:56" ht="12" customHeight="1" x14ac:dyDescent="0.2">
      <c r="C53" s="61"/>
      <c r="D53" s="45" t="s">
        <v>1</v>
      </c>
      <c r="E53" s="45"/>
      <c r="F53" s="67"/>
      <c r="G53" s="45"/>
      <c r="H53" s="38" t="s">
        <v>1</v>
      </c>
      <c r="I53" s="45"/>
      <c r="J53" s="67"/>
      <c r="K53" s="45"/>
      <c r="L53" s="45" t="s">
        <v>1</v>
      </c>
      <c r="M53" s="45"/>
      <c r="N53" s="67"/>
      <c r="O53" s="45"/>
      <c r="P53" s="45"/>
      <c r="Q53" s="61"/>
      <c r="R53" s="45" t="s">
        <v>1</v>
      </c>
      <c r="S53" s="45"/>
      <c r="T53" s="67"/>
      <c r="U53" s="45"/>
      <c r="V53" s="38" t="s">
        <v>1</v>
      </c>
      <c r="W53" s="45"/>
      <c r="X53" s="67"/>
      <c r="Y53" s="45"/>
      <c r="Z53" s="45" t="s">
        <v>1</v>
      </c>
      <c r="AA53" s="45"/>
      <c r="AB53" s="67"/>
      <c r="AC53" s="45"/>
      <c r="AD53" s="45"/>
      <c r="AE53" s="61"/>
      <c r="AF53" s="45" t="s">
        <v>1</v>
      </c>
      <c r="AG53" s="45"/>
      <c r="AH53" s="67"/>
      <c r="AI53" s="45"/>
      <c r="AJ53" s="38" t="s">
        <v>1</v>
      </c>
      <c r="AK53" s="45"/>
      <c r="AL53" s="67"/>
      <c r="AM53" s="45"/>
      <c r="AN53" s="45" t="s">
        <v>1</v>
      </c>
      <c r="AP53" s="67"/>
      <c r="AS53" s="61"/>
      <c r="AT53" s="45" t="s">
        <v>1</v>
      </c>
      <c r="AU53" s="45"/>
      <c r="AV53" s="67"/>
      <c r="AW53" s="45"/>
      <c r="AX53" s="38" t="s">
        <v>1</v>
      </c>
      <c r="AY53" s="45"/>
      <c r="AZ53" s="67"/>
      <c r="BA53" s="45"/>
      <c r="BB53" s="45"/>
      <c r="BC53" s="45" t="s">
        <v>1</v>
      </c>
      <c r="BD53" s="67"/>
    </row>
    <row r="54" spans="3:56" ht="12" customHeight="1" x14ac:dyDescent="0.2">
      <c r="C54" s="61"/>
      <c r="D54" s="45" t="s">
        <v>2</v>
      </c>
      <c r="E54" s="45"/>
      <c r="F54" s="67"/>
      <c r="G54" s="45"/>
      <c r="H54" s="38" t="s">
        <v>2</v>
      </c>
      <c r="I54" s="45"/>
      <c r="J54" s="67"/>
      <c r="K54" s="45"/>
      <c r="L54" s="45" t="s">
        <v>2</v>
      </c>
      <c r="M54" s="45"/>
      <c r="N54" s="67"/>
      <c r="O54" s="45"/>
      <c r="P54" s="45"/>
      <c r="Q54" s="61"/>
      <c r="R54" s="45" t="s">
        <v>2</v>
      </c>
      <c r="S54" s="45"/>
      <c r="T54" s="67"/>
      <c r="U54" s="45"/>
      <c r="V54" s="38" t="s">
        <v>2</v>
      </c>
      <c r="W54" s="45"/>
      <c r="X54" s="67"/>
      <c r="Y54" s="45"/>
      <c r="Z54" s="45" t="s">
        <v>2</v>
      </c>
      <c r="AA54" s="45"/>
      <c r="AB54" s="67"/>
      <c r="AC54" s="45"/>
      <c r="AD54" s="45"/>
      <c r="AE54" s="61"/>
      <c r="AF54" s="45" t="s">
        <v>2</v>
      </c>
      <c r="AG54" s="45"/>
      <c r="AH54" s="67"/>
      <c r="AI54" s="45"/>
      <c r="AJ54" s="38" t="s">
        <v>2</v>
      </c>
      <c r="AK54" s="45"/>
      <c r="AL54" s="67"/>
      <c r="AM54" s="45"/>
      <c r="AN54" s="45" t="s">
        <v>2</v>
      </c>
      <c r="AP54" s="67"/>
      <c r="AS54" s="61"/>
      <c r="AT54" s="45" t="s">
        <v>2</v>
      </c>
      <c r="AU54" s="45"/>
      <c r="AV54" s="67"/>
      <c r="AW54" s="45"/>
      <c r="AX54" s="38" t="s">
        <v>2</v>
      </c>
      <c r="AY54" s="45"/>
      <c r="AZ54" s="67"/>
      <c r="BA54" s="45"/>
      <c r="BB54" s="45"/>
      <c r="BC54" s="45" t="s">
        <v>2</v>
      </c>
      <c r="BD54" s="67"/>
    </row>
    <row r="55" spans="3:56" ht="12" customHeight="1" x14ac:dyDescent="0.2">
      <c r="C55" s="70"/>
      <c r="D55" s="49" t="s">
        <v>3</v>
      </c>
      <c r="E55" s="49"/>
      <c r="F55" s="71"/>
      <c r="G55" s="49"/>
      <c r="H55" s="39" t="s">
        <v>3</v>
      </c>
      <c r="I55" s="49"/>
      <c r="J55" s="71"/>
      <c r="K55" s="49"/>
      <c r="L55" s="49" t="s">
        <v>3</v>
      </c>
      <c r="M55" s="49"/>
      <c r="N55" s="71"/>
      <c r="O55" s="45"/>
      <c r="P55" s="45"/>
      <c r="Q55" s="70"/>
      <c r="R55" s="49" t="s">
        <v>3</v>
      </c>
      <c r="S55" s="49"/>
      <c r="T55" s="71"/>
      <c r="U55" s="49"/>
      <c r="V55" s="39" t="s">
        <v>3</v>
      </c>
      <c r="W55" s="49"/>
      <c r="X55" s="71"/>
      <c r="Y55" s="49"/>
      <c r="Z55" s="49" t="s">
        <v>3</v>
      </c>
      <c r="AA55" s="49"/>
      <c r="AB55" s="71"/>
      <c r="AC55" s="45"/>
      <c r="AD55" s="45"/>
      <c r="AE55" s="70"/>
      <c r="AF55" s="49" t="s">
        <v>3</v>
      </c>
      <c r="AG55" s="49"/>
      <c r="AH55" s="71"/>
      <c r="AI55" s="49"/>
      <c r="AJ55" s="39" t="s">
        <v>3</v>
      </c>
      <c r="AK55" s="49"/>
      <c r="AL55" s="71"/>
      <c r="AM55" s="49"/>
      <c r="AN55" s="49" t="s">
        <v>3</v>
      </c>
      <c r="AP55" s="71"/>
      <c r="AS55" s="70"/>
      <c r="AT55" s="49" t="s">
        <v>3</v>
      </c>
      <c r="AU55" s="49"/>
      <c r="AV55" s="71"/>
      <c r="AW55" s="49"/>
      <c r="AX55" s="39" t="s">
        <v>3</v>
      </c>
      <c r="AY55" s="49"/>
      <c r="AZ55" s="71"/>
      <c r="BA55" s="49"/>
      <c r="BB55" s="49"/>
      <c r="BC55" s="49" t="s">
        <v>3</v>
      </c>
      <c r="BD55" s="71"/>
    </row>
    <row r="56" spans="3:56" ht="12" customHeight="1" x14ac:dyDescent="0.2">
      <c r="C56" s="61"/>
      <c r="D56" s="45" t="s">
        <v>0</v>
      </c>
      <c r="E56" s="67"/>
      <c r="F56" s="45" t="s">
        <v>0</v>
      </c>
      <c r="G56" s="45"/>
      <c r="H56" s="67"/>
      <c r="I56" s="45" t="s">
        <v>0</v>
      </c>
      <c r="J56" s="45"/>
      <c r="K56" s="67"/>
      <c r="L56" s="45" t="s">
        <v>0</v>
      </c>
      <c r="M56" s="45"/>
      <c r="N56" s="67"/>
      <c r="O56" s="45"/>
      <c r="P56" s="45"/>
      <c r="Q56" s="61"/>
      <c r="R56" s="45" t="s">
        <v>0</v>
      </c>
      <c r="S56" s="67"/>
      <c r="T56" s="45" t="s">
        <v>0</v>
      </c>
      <c r="U56" s="45"/>
      <c r="V56" s="67"/>
      <c r="W56" s="45" t="s">
        <v>0</v>
      </c>
      <c r="X56" s="45"/>
      <c r="Y56" s="67"/>
      <c r="Z56" s="45" t="s">
        <v>0</v>
      </c>
      <c r="AA56" s="45"/>
      <c r="AB56" s="67"/>
      <c r="AC56" s="45"/>
      <c r="AD56" s="45"/>
      <c r="AE56" s="61"/>
      <c r="AF56" s="45" t="s">
        <v>0</v>
      </c>
      <c r="AG56" s="67"/>
      <c r="AH56" s="45" t="s">
        <v>0</v>
      </c>
      <c r="AI56" s="45"/>
      <c r="AJ56" s="67"/>
      <c r="AK56" s="45" t="s">
        <v>0</v>
      </c>
      <c r="AL56" s="45"/>
      <c r="AM56" s="67"/>
      <c r="AN56" s="45" t="s">
        <v>0</v>
      </c>
      <c r="AP56" s="67"/>
      <c r="AS56" s="61"/>
      <c r="AT56" s="45" t="s">
        <v>0</v>
      </c>
      <c r="AU56" s="67"/>
      <c r="AV56" s="45" t="s">
        <v>0</v>
      </c>
      <c r="AW56" s="45"/>
      <c r="AX56" s="67"/>
      <c r="AY56" s="45" t="s">
        <v>0</v>
      </c>
      <c r="AZ56" s="45"/>
      <c r="BA56" s="67"/>
      <c r="BB56" s="61"/>
      <c r="BC56" s="45" t="s">
        <v>0</v>
      </c>
      <c r="BD56" s="67"/>
    </row>
    <row r="57" spans="3:56" ht="12" customHeight="1" x14ac:dyDescent="0.2">
      <c r="C57" s="61"/>
      <c r="D57" s="45" t="s">
        <v>1</v>
      </c>
      <c r="E57" s="67"/>
      <c r="F57" s="45" t="s">
        <v>1</v>
      </c>
      <c r="G57" s="45"/>
      <c r="H57" s="67"/>
      <c r="I57" s="45" t="s">
        <v>1</v>
      </c>
      <c r="J57" s="45"/>
      <c r="K57" s="67"/>
      <c r="L57" s="45" t="s">
        <v>1</v>
      </c>
      <c r="M57" s="45"/>
      <c r="N57" s="67"/>
      <c r="O57" s="45"/>
      <c r="P57" s="45"/>
      <c r="Q57" s="61"/>
      <c r="R57" s="45" t="s">
        <v>1</v>
      </c>
      <c r="S57" s="67"/>
      <c r="T57" s="45" t="s">
        <v>1</v>
      </c>
      <c r="U57" s="45"/>
      <c r="V57" s="67"/>
      <c r="W57" s="45" t="s">
        <v>1</v>
      </c>
      <c r="X57" s="45"/>
      <c r="Y57" s="67"/>
      <c r="Z57" s="45" t="s">
        <v>1</v>
      </c>
      <c r="AA57" s="45"/>
      <c r="AB57" s="67"/>
      <c r="AC57" s="45"/>
      <c r="AD57" s="45"/>
      <c r="AE57" s="61"/>
      <c r="AF57" s="45" t="s">
        <v>1</v>
      </c>
      <c r="AG57" s="67"/>
      <c r="AH57" s="45" t="s">
        <v>1</v>
      </c>
      <c r="AI57" s="45"/>
      <c r="AJ57" s="67"/>
      <c r="AK57" s="45" t="s">
        <v>1</v>
      </c>
      <c r="AL57" s="45"/>
      <c r="AM57" s="67"/>
      <c r="AN57" s="45" t="s">
        <v>1</v>
      </c>
      <c r="AP57" s="67"/>
      <c r="AS57" s="61"/>
      <c r="AT57" s="45" t="s">
        <v>1</v>
      </c>
      <c r="AU57" s="67"/>
      <c r="AV57" s="45" t="s">
        <v>1</v>
      </c>
      <c r="AW57" s="45"/>
      <c r="AX57" s="67"/>
      <c r="AY57" s="45" t="s">
        <v>1</v>
      </c>
      <c r="AZ57" s="45"/>
      <c r="BA57" s="67"/>
      <c r="BB57" s="61"/>
      <c r="BC57" s="45" t="s">
        <v>1</v>
      </c>
      <c r="BD57" s="67"/>
    </row>
    <row r="58" spans="3:56" ht="12" customHeight="1" x14ac:dyDescent="0.2">
      <c r="C58" s="61"/>
      <c r="D58" s="45" t="s">
        <v>2</v>
      </c>
      <c r="E58" s="67"/>
      <c r="F58" s="45" t="s">
        <v>2</v>
      </c>
      <c r="G58" s="45"/>
      <c r="H58" s="67"/>
      <c r="I58" s="45" t="s">
        <v>2</v>
      </c>
      <c r="J58" s="45"/>
      <c r="K58" s="67"/>
      <c r="L58" s="45" t="s">
        <v>2</v>
      </c>
      <c r="M58" s="45"/>
      <c r="N58" s="67"/>
      <c r="O58" s="45"/>
      <c r="P58" s="45"/>
      <c r="Q58" s="61"/>
      <c r="R58" s="45" t="s">
        <v>2</v>
      </c>
      <c r="S58" s="67"/>
      <c r="T58" s="45" t="s">
        <v>2</v>
      </c>
      <c r="U58" s="45"/>
      <c r="V58" s="67"/>
      <c r="W58" s="45" t="s">
        <v>2</v>
      </c>
      <c r="X58" s="45"/>
      <c r="Y58" s="67"/>
      <c r="Z58" s="45" t="s">
        <v>2</v>
      </c>
      <c r="AA58" s="45"/>
      <c r="AB58" s="67"/>
      <c r="AC58" s="45"/>
      <c r="AD58" s="45"/>
      <c r="AE58" s="61"/>
      <c r="AF58" s="45" t="s">
        <v>2</v>
      </c>
      <c r="AG58" s="67"/>
      <c r="AH58" s="45" t="s">
        <v>2</v>
      </c>
      <c r="AI58" s="45"/>
      <c r="AJ58" s="67"/>
      <c r="AK58" s="45" t="s">
        <v>2</v>
      </c>
      <c r="AL58" s="45"/>
      <c r="AM58" s="67"/>
      <c r="AN58" s="45" t="s">
        <v>2</v>
      </c>
      <c r="AP58" s="67"/>
      <c r="AS58" s="61"/>
      <c r="AT58" s="45" t="s">
        <v>2</v>
      </c>
      <c r="AU58" s="67"/>
      <c r="AV58" s="45" t="s">
        <v>2</v>
      </c>
      <c r="AW58" s="45"/>
      <c r="AX58" s="67"/>
      <c r="AY58" s="45" t="s">
        <v>2</v>
      </c>
      <c r="AZ58" s="45"/>
      <c r="BA58" s="67"/>
      <c r="BB58" s="61"/>
      <c r="BC58" s="45" t="s">
        <v>2</v>
      </c>
      <c r="BD58" s="67"/>
    </row>
    <row r="59" spans="3:56" ht="12" customHeight="1" x14ac:dyDescent="0.2">
      <c r="C59" s="70"/>
      <c r="D59" s="49" t="s">
        <v>3</v>
      </c>
      <c r="E59" s="71"/>
      <c r="F59" s="49" t="s">
        <v>3</v>
      </c>
      <c r="G59" s="49"/>
      <c r="H59" s="71"/>
      <c r="I59" s="49" t="s">
        <v>3</v>
      </c>
      <c r="J59" s="49"/>
      <c r="K59" s="71"/>
      <c r="L59" s="49" t="s">
        <v>3</v>
      </c>
      <c r="M59" s="49"/>
      <c r="N59" s="71"/>
      <c r="O59" s="45"/>
      <c r="P59" s="45"/>
      <c r="Q59" s="70"/>
      <c r="R59" s="49" t="s">
        <v>3</v>
      </c>
      <c r="S59" s="71"/>
      <c r="T59" s="49" t="s">
        <v>3</v>
      </c>
      <c r="U59" s="49"/>
      <c r="V59" s="71"/>
      <c r="W59" s="49" t="s">
        <v>3</v>
      </c>
      <c r="X59" s="49"/>
      <c r="Y59" s="71"/>
      <c r="Z59" s="49" t="s">
        <v>3</v>
      </c>
      <c r="AA59" s="49"/>
      <c r="AB59" s="71"/>
      <c r="AC59" s="45"/>
      <c r="AD59" s="45"/>
      <c r="AE59" s="70"/>
      <c r="AF59" s="49" t="s">
        <v>3</v>
      </c>
      <c r="AG59" s="71"/>
      <c r="AH59" s="49" t="s">
        <v>3</v>
      </c>
      <c r="AI59" s="49"/>
      <c r="AJ59" s="71"/>
      <c r="AK59" s="49" t="s">
        <v>3</v>
      </c>
      <c r="AL59" s="49"/>
      <c r="AM59" s="71"/>
      <c r="AN59" s="49" t="s">
        <v>3</v>
      </c>
      <c r="AP59" s="71"/>
      <c r="AS59" s="70"/>
      <c r="AT59" s="49" t="s">
        <v>3</v>
      </c>
      <c r="AU59" s="71"/>
      <c r="AV59" s="49" t="s">
        <v>3</v>
      </c>
      <c r="AW59" s="49"/>
      <c r="AX59" s="71"/>
      <c r="AY59" s="49" t="s">
        <v>3</v>
      </c>
      <c r="AZ59" s="49"/>
      <c r="BA59" s="71"/>
      <c r="BB59" s="70"/>
      <c r="BC59" s="49" t="s">
        <v>3</v>
      </c>
      <c r="BD59" s="71"/>
    </row>
    <row r="60" spans="3:56" ht="12" customHeight="1" x14ac:dyDescent="0.2"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P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</row>
    <row r="61" spans="3:56" ht="12" customHeight="1" x14ac:dyDescent="0.2">
      <c r="C61" s="132" t="s">
        <v>133</v>
      </c>
      <c r="D61" s="132"/>
      <c r="E61" s="132"/>
      <c r="F61" s="132"/>
      <c r="G61" s="132"/>
      <c r="H61" s="43"/>
      <c r="I61" s="43"/>
      <c r="J61" s="43"/>
      <c r="K61" s="43"/>
      <c r="L61" s="43"/>
      <c r="M61" s="43"/>
      <c r="N61" s="43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P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</row>
    <row r="62" spans="3:56" ht="12" customHeight="1" x14ac:dyDescent="0.2">
      <c r="C62" s="133"/>
      <c r="D62" s="133"/>
      <c r="E62" s="133"/>
      <c r="F62" s="133"/>
      <c r="G62" s="133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P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</row>
    <row r="63" spans="3:56" ht="12" customHeight="1" thickBot="1" x14ac:dyDescent="0.25">
      <c r="C63" s="61"/>
      <c r="D63" s="45" t="s">
        <v>0</v>
      </c>
      <c r="E63" s="45"/>
      <c r="F63" s="62"/>
      <c r="G63" s="45"/>
      <c r="H63" s="46" t="s">
        <v>0</v>
      </c>
      <c r="I63" s="46"/>
      <c r="J63" s="63"/>
      <c r="K63" s="46"/>
      <c r="L63" s="46" t="s">
        <v>0</v>
      </c>
      <c r="M63" s="46"/>
      <c r="N63" s="64"/>
      <c r="O63" s="45"/>
      <c r="P63" s="45"/>
      <c r="Q63" s="65"/>
      <c r="R63" s="46" t="s">
        <v>0</v>
      </c>
      <c r="S63" s="46"/>
      <c r="T63" s="63"/>
      <c r="U63" s="46"/>
      <c r="V63" s="46" t="s">
        <v>0</v>
      </c>
      <c r="W63" s="46"/>
      <c r="X63" s="63"/>
      <c r="Y63" s="46"/>
      <c r="Z63" s="46" t="s">
        <v>0</v>
      </c>
      <c r="AA63" s="46"/>
      <c r="AB63" s="64"/>
      <c r="AC63" s="45"/>
      <c r="AD63" s="45"/>
      <c r="AE63" s="65"/>
      <c r="AF63" s="46" t="s">
        <v>0</v>
      </c>
      <c r="AG63" s="46"/>
      <c r="AH63" s="63"/>
      <c r="AI63" s="46"/>
      <c r="AJ63" s="46" t="s">
        <v>0</v>
      </c>
      <c r="AK63" s="46"/>
      <c r="AL63" s="63"/>
      <c r="AM63" s="81"/>
      <c r="AN63" s="46" t="s">
        <v>0</v>
      </c>
      <c r="AP63" s="64"/>
      <c r="AS63" s="65"/>
      <c r="AT63" s="46" t="s">
        <v>0</v>
      </c>
      <c r="AU63" s="46"/>
      <c r="AV63" s="63"/>
      <c r="AW63" s="46"/>
      <c r="AX63" s="46" t="s">
        <v>0</v>
      </c>
      <c r="AY63" s="46"/>
      <c r="AZ63" s="46"/>
      <c r="BA63" s="65"/>
      <c r="BB63" s="46"/>
      <c r="BC63" s="46" t="s">
        <v>0</v>
      </c>
      <c r="BD63" s="64"/>
    </row>
    <row r="64" spans="3:56" ht="12" customHeight="1" x14ac:dyDescent="0.2">
      <c r="C64" s="61"/>
      <c r="D64" s="45" t="s">
        <v>1</v>
      </c>
      <c r="E64" s="45"/>
      <c r="F64" s="62"/>
      <c r="G64" s="47"/>
      <c r="H64" s="47" t="s">
        <v>1</v>
      </c>
      <c r="I64" s="47"/>
      <c r="J64" s="66"/>
      <c r="K64" s="45"/>
      <c r="L64" s="45" t="s">
        <v>1</v>
      </c>
      <c r="M64" s="45"/>
      <c r="N64" s="67"/>
      <c r="O64" s="45"/>
      <c r="P64" s="45"/>
      <c r="Q64" s="61"/>
      <c r="R64" s="45" t="s">
        <v>1</v>
      </c>
      <c r="S64" s="45"/>
      <c r="T64" s="62"/>
      <c r="U64" s="47"/>
      <c r="V64" s="47" t="s">
        <v>1</v>
      </c>
      <c r="W64" s="47"/>
      <c r="X64" s="66"/>
      <c r="Y64" s="45"/>
      <c r="Z64" s="45" t="s">
        <v>1</v>
      </c>
      <c r="AA64" s="45"/>
      <c r="AB64" s="67"/>
      <c r="AC64" s="45"/>
      <c r="AD64" s="45"/>
      <c r="AE64" s="61"/>
      <c r="AF64" s="45" t="s">
        <v>1</v>
      </c>
      <c r="AG64" s="45"/>
      <c r="AH64" s="62"/>
      <c r="AI64" s="47"/>
      <c r="AJ64" s="47" t="s">
        <v>1</v>
      </c>
      <c r="AK64" s="47"/>
      <c r="AL64" s="66"/>
      <c r="AM64" s="82"/>
      <c r="AN64" s="45" t="s">
        <v>1</v>
      </c>
      <c r="AP64" s="67"/>
      <c r="AS64" s="61"/>
      <c r="AT64" s="45" t="s">
        <v>1</v>
      </c>
      <c r="AU64" s="45"/>
      <c r="AV64" s="62"/>
      <c r="AW64" s="47"/>
      <c r="AX64" s="47" t="s">
        <v>1</v>
      </c>
      <c r="AY64" s="47"/>
      <c r="AZ64" s="47"/>
      <c r="BA64" s="61"/>
      <c r="BB64" s="45"/>
      <c r="BC64" s="45" t="s">
        <v>1</v>
      </c>
      <c r="BD64" s="67"/>
    </row>
    <row r="65" spans="3:56" ht="12" customHeight="1" x14ac:dyDescent="0.2">
      <c r="C65" s="61"/>
      <c r="D65" s="45" t="s">
        <v>2</v>
      </c>
      <c r="E65" s="45"/>
      <c r="F65" s="62"/>
      <c r="G65" s="45"/>
      <c r="H65" s="45" t="s">
        <v>2</v>
      </c>
      <c r="I65" s="45"/>
      <c r="J65" s="62"/>
      <c r="K65" s="45"/>
      <c r="L65" s="45" t="s">
        <v>2</v>
      </c>
      <c r="M65" s="45"/>
      <c r="N65" s="67"/>
      <c r="O65" s="45"/>
      <c r="P65" s="45"/>
      <c r="Q65" s="61"/>
      <c r="R65" s="45" t="s">
        <v>2</v>
      </c>
      <c r="S65" s="45"/>
      <c r="T65" s="62"/>
      <c r="U65" s="45"/>
      <c r="V65" s="45" t="s">
        <v>2</v>
      </c>
      <c r="W65" s="45"/>
      <c r="X65" s="62"/>
      <c r="Y65" s="45"/>
      <c r="Z65" s="45" t="s">
        <v>2</v>
      </c>
      <c r="AA65" s="45"/>
      <c r="AB65" s="67"/>
      <c r="AC65" s="45"/>
      <c r="AD65" s="45"/>
      <c r="AE65" s="61"/>
      <c r="AF65" s="45" t="s">
        <v>2</v>
      </c>
      <c r="AG65" s="45"/>
      <c r="AH65" s="62"/>
      <c r="AI65" s="45"/>
      <c r="AJ65" s="45" t="s">
        <v>2</v>
      </c>
      <c r="AK65" s="45"/>
      <c r="AL65" s="62"/>
      <c r="AM65" s="82"/>
      <c r="AN65" s="45" t="s">
        <v>2</v>
      </c>
      <c r="AP65" s="67"/>
      <c r="AS65" s="61"/>
      <c r="AT65" s="45" t="s">
        <v>2</v>
      </c>
      <c r="AU65" s="45"/>
      <c r="AV65" s="62"/>
      <c r="AW65" s="45"/>
      <c r="AX65" s="45" t="s">
        <v>2</v>
      </c>
      <c r="AY65" s="45"/>
      <c r="AZ65" s="45"/>
      <c r="BA65" s="61"/>
      <c r="BB65" s="45"/>
      <c r="BC65" s="45" t="s">
        <v>2</v>
      </c>
      <c r="BD65" s="67"/>
    </row>
    <row r="66" spans="3:56" ht="12" customHeight="1" thickBot="1" x14ac:dyDescent="0.25">
      <c r="C66" s="61"/>
      <c r="D66" s="45" t="s">
        <v>3</v>
      </c>
      <c r="E66" s="45"/>
      <c r="F66" s="68"/>
      <c r="G66" s="48"/>
      <c r="H66" s="48" t="s">
        <v>3</v>
      </c>
      <c r="I66" s="48"/>
      <c r="J66" s="69"/>
      <c r="K66" s="45"/>
      <c r="L66" s="45" t="s">
        <v>3</v>
      </c>
      <c r="M66" s="45"/>
      <c r="N66" s="67"/>
      <c r="O66" s="45"/>
      <c r="P66" s="45"/>
      <c r="Q66" s="61"/>
      <c r="R66" s="45" t="s">
        <v>3</v>
      </c>
      <c r="S66" s="45"/>
      <c r="T66" s="68"/>
      <c r="U66" s="48"/>
      <c r="V66" s="48" t="s">
        <v>3</v>
      </c>
      <c r="W66" s="48"/>
      <c r="X66" s="69"/>
      <c r="Y66" s="45"/>
      <c r="Z66" s="45" t="s">
        <v>3</v>
      </c>
      <c r="AA66" s="45"/>
      <c r="AB66" s="67"/>
      <c r="AC66" s="45"/>
      <c r="AD66" s="45"/>
      <c r="AE66" s="61"/>
      <c r="AF66" s="45" t="s">
        <v>3</v>
      </c>
      <c r="AG66" s="45"/>
      <c r="AH66" s="68"/>
      <c r="AI66" s="48"/>
      <c r="AJ66" s="48" t="s">
        <v>3</v>
      </c>
      <c r="AK66" s="48"/>
      <c r="AL66" s="69"/>
      <c r="AM66" s="83"/>
      <c r="AN66" s="45" t="s">
        <v>3</v>
      </c>
      <c r="AP66" s="67"/>
      <c r="AS66" s="61"/>
      <c r="AT66" s="45" t="s">
        <v>3</v>
      </c>
      <c r="AU66" s="45"/>
      <c r="AV66" s="68"/>
      <c r="AW66" s="45"/>
      <c r="AX66" s="45" t="s">
        <v>3</v>
      </c>
      <c r="AY66" s="45"/>
      <c r="AZ66" s="45"/>
      <c r="BA66" s="70"/>
      <c r="BB66" s="49"/>
      <c r="BC66" s="49" t="s">
        <v>3</v>
      </c>
      <c r="BD66" s="71"/>
    </row>
    <row r="67" spans="3:56" ht="12" customHeight="1" x14ac:dyDescent="0.2">
      <c r="C67" s="65"/>
      <c r="D67" s="46" t="s">
        <v>0</v>
      </c>
      <c r="E67" s="46"/>
      <c r="F67" s="67"/>
      <c r="G67" s="45"/>
      <c r="H67" s="40" t="s">
        <v>0</v>
      </c>
      <c r="I67" s="45"/>
      <c r="J67" s="62"/>
      <c r="K67" s="46"/>
      <c r="L67" s="46" t="s">
        <v>0</v>
      </c>
      <c r="M67" s="46"/>
      <c r="N67" s="64"/>
      <c r="O67" s="45"/>
      <c r="P67" s="45"/>
      <c r="Q67" s="65"/>
      <c r="R67" s="46" t="s">
        <v>0</v>
      </c>
      <c r="S67" s="46"/>
      <c r="T67" s="67"/>
      <c r="U67" s="45"/>
      <c r="V67" s="40" t="s">
        <v>0</v>
      </c>
      <c r="W67" s="45"/>
      <c r="X67" s="62"/>
      <c r="Y67" s="46"/>
      <c r="Z67" s="46" t="s">
        <v>0</v>
      </c>
      <c r="AA67" s="46"/>
      <c r="AB67" s="64"/>
      <c r="AC67" s="45"/>
      <c r="AD67" s="45"/>
      <c r="AE67" s="65"/>
      <c r="AF67" s="46" t="s">
        <v>0</v>
      </c>
      <c r="AG67" s="46"/>
      <c r="AH67" s="67"/>
      <c r="AI67" s="45"/>
      <c r="AJ67" s="40" t="s">
        <v>0</v>
      </c>
      <c r="AK67" s="45"/>
      <c r="AL67" s="62"/>
      <c r="AM67" s="46"/>
      <c r="AN67" s="46" t="s">
        <v>0</v>
      </c>
      <c r="AP67" s="64"/>
      <c r="AS67" s="65"/>
      <c r="AT67" s="46" t="s">
        <v>0</v>
      </c>
      <c r="AU67" s="46"/>
      <c r="AV67" s="64"/>
      <c r="AW67" s="65"/>
      <c r="AX67" s="40" t="s">
        <v>0</v>
      </c>
      <c r="AY67" s="46"/>
      <c r="AZ67" s="64"/>
      <c r="BA67" s="46"/>
      <c r="BB67" s="46"/>
      <c r="BC67" s="46" t="s">
        <v>0</v>
      </c>
      <c r="BD67" s="64"/>
    </row>
    <row r="68" spans="3:56" ht="12" customHeight="1" x14ac:dyDescent="0.2">
      <c r="C68" s="61"/>
      <c r="D68" s="45" t="s">
        <v>1</v>
      </c>
      <c r="E68" s="45"/>
      <c r="F68" s="67"/>
      <c r="G68" s="45"/>
      <c r="H68" s="38" t="s">
        <v>1</v>
      </c>
      <c r="I68" s="45"/>
      <c r="J68" s="67"/>
      <c r="K68" s="45"/>
      <c r="L68" s="45" t="s">
        <v>1</v>
      </c>
      <c r="M68" s="45"/>
      <c r="N68" s="67"/>
      <c r="O68" s="45"/>
      <c r="P68" s="45"/>
      <c r="Q68" s="61"/>
      <c r="R68" s="45" t="s">
        <v>1</v>
      </c>
      <c r="S68" s="45"/>
      <c r="T68" s="67"/>
      <c r="U68" s="45"/>
      <c r="V68" s="38" t="s">
        <v>1</v>
      </c>
      <c r="W68" s="45"/>
      <c r="X68" s="67"/>
      <c r="Y68" s="45"/>
      <c r="Z68" s="45" t="s">
        <v>1</v>
      </c>
      <c r="AA68" s="45"/>
      <c r="AB68" s="67"/>
      <c r="AC68" s="45"/>
      <c r="AD68" s="45"/>
      <c r="AE68" s="61"/>
      <c r="AF68" s="45" t="s">
        <v>1</v>
      </c>
      <c r="AG68" s="45"/>
      <c r="AH68" s="67"/>
      <c r="AI68" s="45"/>
      <c r="AJ68" s="38" t="s">
        <v>1</v>
      </c>
      <c r="AK68" s="45"/>
      <c r="AL68" s="67"/>
      <c r="AM68" s="45"/>
      <c r="AN68" s="45" t="s">
        <v>1</v>
      </c>
      <c r="AP68" s="67"/>
      <c r="AS68" s="61"/>
      <c r="AT68" s="45" t="s">
        <v>1</v>
      </c>
      <c r="AU68" s="45"/>
      <c r="AV68" s="67"/>
      <c r="AW68" s="61"/>
      <c r="AX68" s="38" t="s">
        <v>1</v>
      </c>
      <c r="AY68" s="45"/>
      <c r="AZ68" s="67"/>
      <c r="BA68" s="45"/>
      <c r="BB68" s="45"/>
      <c r="BC68" s="45" t="s">
        <v>1</v>
      </c>
      <c r="BD68" s="67"/>
    </row>
    <row r="69" spans="3:56" ht="12" customHeight="1" x14ac:dyDescent="0.2">
      <c r="C69" s="61"/>
      <c r="D69" s="45" t="s">
        <v>2</v>
      </c>
      <c r="E69" s="45"/>
      <c r="F69" s="67"/>
      <c r="G69" s="45"/>
      <c r="H69" s="38" t="s">
        <v>2</v>
      </c>
      <c r="I69" s="45"/>
      <c r="J69" s="67"/>
      <c r="K69" s="45"/>
      <c r="L69" s="45" t="s">
        <v>2</v>
      </c>
      <c r="M69" s="45"/>
      <c r="N69" s="67"/>
      <c r="O69" s="45"/>
      <c r="P69" s="45"/>
      <c r="Q69" s="61"/>
      <c r="R69" s="45" t="s">
        <v>2</v>
      </c>
      <c r="S69" s="45"/>
      <c r="T69" s="67"/>
      <c r="U69" s="45"/>
      <c r="V69" s="38" t="s">
        <v>2</v>
      </c>
      <c r="W69" s="45"/>
      <c r="X69" s="67"/>
      <c r="Y69" s="45"/>
      <c r="Z69" s="45" t="s">
        <v>2</v>
      </c>
      <c r="AA69" s="45"/>
      <c r="AB69" s="67"/>
      <c r="AC69" s="45"/>
      <c r="AD69" s="45"/>
      <c r="AE69" s="61"/>
      <c r="AF69" s="45" t="s">
        <v>2</v>
      </c>
      <c r="AG69" s="45"/>
      <c r="AH69" s="67"/>
      <c r="AI69" s="45"/>
      <c r="AJ69" s="38" t="s">
        <v>2</v>
      </c>
      <c r="AK69" s="45"/>
      <c r="AL69" s="67"/>
      <c r="AM69" s="45"/>
      <c r="AN69" s="45" t="s">
        <v>2</v>
      </c>
      <c r="AP69" s="67"/>
      <c r="AS69" s="61"/>
      <c r="AT69" s="45" t="s">
        <v>2</v>
      </c>
      <c r="AU69" s="45"/>
      <c r="AV69" s="67"/>
      <c r="AW69" s="61"/>
      <c r="AX69" s="38" t="s">
        <v>2</v>
      </c>
      <c r="AY69" s="45"/>
      <c r="AZ69" s="67"/>
      <c r="BA69" s="45"/>
      <c r="BB69" s="45"/>
      <c r="BC69" s="45" t="s">
        <v>2</v>
      </c>
      <c r="BD69" s="67"/>
    </row>
    <row r="70" spans="3:56" ht="12" customHeight="1" x14ac:dyDescent="0.2">
      <c r="C70" s="70"/>
      <c r="D70" s="49" t="s">
        <v>3</v>
      </c>
      <c r="E70" s="49"/>
      <c r="F70" s="71"/>
      <c r="G70" s="49"/>
      <c r="H70" s="39" t="s">
        <v>3</v>
      </c>
      <c r="I70" s="49"/>
      <c r="J70" s="71"/>
      <c r="K70" s="49"/>
      <c r="L70" s="49" t="s">
        <v>3</v>
      </c>
      <c r="M70" s="49"/>
      <c r="N70" s="71"/>
      <c r="O70" s="45"/>
      <c r="P70" s="45"/>
      <c r="Q70" s="70"/>
      <c r="R70" s="49" t="s">
        <v>3</v>
      </c>
      <c r="S70" s="49"/>
      <c r="T70" s="71"/>
      <c r="U70" s="49"/>
      <c r="V70" s="39" t="s">
        <v>3</v>
      </c>
      <c r="W70" s="49"/>
      <c r="X70" s="71"/>
      <c r="Y70" s="49"/>
      <c r="Z70" s="49" t="s">
        <v>3</v>
      </c>
      <c r="AA70" s="49"/>
      <c r="AB70" s="71"/>
      <c r="AC70" s="45"/>
      <c r="AD70" s="45"/>
      <c r="AE70" s="70"/>
      <c r="AF70" s="49" t="s">
        <v>3</v>
      </c>
      <c r="AG70" s="49"/>
      <c r="AH70" s="71"/>
      <c r="AI70" s="49"/>
      <c r="AJ70" s="39" t="s">
        <v>3</v>
      </c>
      <c r="AK70" s="49"/>
      <c r="AL70" s="71"/>
      <c r="AM70" s="49"/>
      <c r="AN70" s="49" t="s">
        <v>3</v>
      </c>
      <c r="AP70" s="71"/>
      <c r="AS70" s="70"/>
      <c r="AT70" s="49" t="s">
        <v>3</v>
      </c>
      <c r="AU70" s="49"/>
      <c r="AV70" s="71"/>
      <c r="AW70" s="70"/>
      <c r="AX70" s="39" t="s">
        <v>3</v>
      </c>
      <c r="AY70" s="49"/>
      <c r="AZ70" s="71"/>
      <c r="BA70" s="49"/>
      <c r="BB70" s="49"/>
      <c r="BC70" s="49" t="s">
        <v>3</v>
      </c>
      <c r="BD70" s="71"/>
    </row>
    <row r="71" spans="3:56" ht="12" customHeight="1" x14ac:dyDescent="0.2">
      <c r="C71" s="61"/>
      <c r="D71" s="45" t="s">
        <v>0</v>
      </c>
      <c r="E71" s="67"/>
      <c r="F71" s="45" t="s">
        <v>0</v>
      </c>
      <c r="G71" s="45"/>
      <c r="H71" s="67"/>
      <c r="I71" s="45" t="s">
        <v>0</v>
      </c>
      <c r="J71" s="45"/>
      <c r="K71" s="67"/>
      <c r="L71" s="45" t="s">
        <v>0</v>
      </c>
      <c r="M71" s="45"/>
      <c r="N71" s="67"/>
      <c r="O71" s="45"/>
      <c r="P71" s="45"/>
      <c r="Q71" s="61"/>
      <c r="R71" s="45" t="s">
        <v>0</v>
      </c>
      <c r="S71" s="67"/>
      <c r="T71" s="45" t="s">
        <v>0</v>
      </c>
      <c r="U71" s="45"/>
      <c r="V71" s="67"/>
      <c r="W71" s="45" t="s">
        <v>0</v>
      </c>
      <c r="X71" s="45"/>
      <c r="Y71" s="67"/>
      <c r="Z71" s="45" t="s">
        <v>0</v>
      </c>
      <c r="AA71" s="45"/>
      <c r="AB71" s="67"/>
      <c r="AC71" s="45"/>
      <c r="AD71" s="45"/>
      <c r="AE71" s="61"/>
      <c r="AF71" s="45" t="s">
        <v>0</v>
      </c>
      <c r="AG71" s="67"/>
      <c r="AH71" s="45" t="s">
        <v>0</v>
      </c>
      <c r="AI71" s="45"/>
      <c r="AJ71" s="67"/>
      <c r="AK71" s="45" t="s">
        <v>0</v>
      </c>
      <c r="AL71" s="45"/>
      <c r="AM71" s="67"/>
      <c r="AN71" s="45" t="s">
        <v>0</v>
      </c>
      <c r="AP71" s="67"/>
      <c r="AS71" s="61"/>
      <c r="AT71" s="45" t="s">
        <v>0</v>
      </c>
      <c r="AU71" s="67"/>
      <c r="AV71" s="45" t="s">
        <v>0</v>
      </c>
      <c r="AW71" s="45"/>
      <c r="AX71" s="67"/>
      <c r="AY71" s="45" t="s">
        <v>0</v>
      </c>
      <c r="AZ71" s="45"/>
      <c r="BA71" s="67"/>
      <c r="BB71" s="61"/>
      <c r="BC71" s="45" t="s">
        <v>0</v>
      </c>
      <c r="BD71" s="67"/>
    </row>
    <row r="72" spans="3:56" ht="12" customHeight="1" x14ac:dyDescent="0.2">
      <c r="C72" s="61"/>
      <c r="D72" s="45" t="s">
        <v>1</v>
      </c>
      <c r="E72" s="67"/>
      <c r="F72" s="45" t="s">
        <v>1</v>
      </c>
      <c r="G72" s="45"/>
      <c r="H72" s="67"/>
      <c r="I72" s="45" t="s">
        <v>1</v>
      </c>
      <c r="J72" s="45"/>
      <c r="K72" s="67"/>
      <c r="L72" s="45" t="s">
        <v>1</v>
      </c>
      <c r="M72" s="45"/>
      <c r="N72" s="67"/>
      <c r="O72" s="45"/>
      <c r="P72" s="45"/>
      <c r="Q72" s="61"/>
      <c r="R72" s="45" t="s">
        <v>1</v>
      </c>
      <c r="S72" s="67"/>
      <c r="T72" s="45" t="s">
        <v>1</v>
      </c>
      <c r="U72" s="45"/>
      <c r="V72" s="67"/>
      <c r="W72" s="45" t="s">
        <v>1</v>
      </c>
      <c r="X72" s="45"/>
      <c r="Y72" s="67"/>
      <c r="Z72" s="45" t="s">
        <v>1</v>
      </c>
      <c r="AA72" s="45"/>
      <c r="AB72" s="67"/>
      <c r="AC72" s="45"/>
      <c r="AD72" s="45"/>
      <c r="AE72" s="61"/>
      <c r="AF72" s="45" t="s">
        <v>1</v>
      </c>
      <c r="AG72" s="67"/>
      <c r="AH72" s="45" t="s">
        <v>1</v>
      </c>
      <c r="AI72" s="45"/>
      <c r="AJ72" s="67"/>
      <c r="AK72" s="45" t="s">
        <v>1</v>
      </c>
      <c r="AL72" s="45"/>
      <c r="AM72" s="67"/>
      <c r="AN72" s="45" t="s">
        <v>1</v>
      </c>
      <c r="AP72" s="67"/>
      <c r="AS72" s="61"/>
      <c r="AT72" s="45" t="s">
        <v>1</v>
      </c>
      <c r="AU72" s="67"/>
      <c r="AV72" s="45" t="s">
        <v>1</v>
      </c>
      <c r="AW72" s="45"/>
      <c r="AX72" s="67"/>
      <c r="AY72" s="45" t="s">
        <v>1</v>
      </c>
      <c r="AZ72" s="45"/>
      <c r="BA72" s="67"/>
      <c r="BB72" s="61"/>
      <c r="BC72" s="45" t="s">
        <v>1</v>
      </c>
      <c r="BD72" s="67"/>
    </row>
    <row r="73" spans="3:56" ht="12" customHeight="1" x14ac:dyDescent="0.2">
      <c r="C73" s="61"/>
      <c r="D73" s="45" t="s">
        <v>2</v>
      </c>
      <c r="E73" s="67"/>
      <c r="F73" s="45" t="s">
        <v>2</v>
      </c>
      <c r="G73" s="45"/>
      <c r="H73" s="67"/>
      <c r="I73" s="45" t="s">
        <v>2</v>
      </c>
      <c r="J73" s="45"/>
      <c r="K73" s="67"/>
      <c r="L73" s="45" t="s">
        <v>2</v>
      </c>
      <c r="M73" s="45"/>
      <c r="N73" s="67"/>
      <c r="O73" s="45"/>
      <c r="P73" s="45"/>
      <c r="Q73" s="61"/>
      <c r="R73" s="45" t="s">
        <v>2</v>
      </c>
      <c r="S73" s="67"/>
      <c r="T73" s="45" t="s">
        <v>2</v>
      </c>
      <c r="U73" s="45"/>
      <c r="V73" s="67"/>
      <c r="W73" s="45" t="s">
        <v>2</v>
      </c>
      <c r="X73" s="45"/>
      <c r="Y73" s="67"/>
      <c r="Z73" s="45" t="s">
        <v>2</v>
      </c>
      <c r="AA73" s="45"/>
      <c r="AB73" s="67"/>
      <c r="AC73" s="45"/>
      <c r="AD73" s="45"/>
      <c r="AE73" s="61"/>
      <c r="AF73" s="45" t="s">
        <v>2</v>
      </c>
      <c r="AG73" s="67"/>
      <c r="AH73" s="45" t="s">
        <v>2</v>
      </c>
      <c r="AI73" s="45"/>
      <c r="AJ73" s="67"/>
      <c r="AK73" s="45" t="s">
        <v>2</v>
      </c>
      <c r="AL73" s="45"/>
      <c r="AM73" s="67"/>
      <c r="AN73" s="45" t="s">
        <v>2</v>
      </c>
      <c r="AP73" s="67"/>
      <c r="AS73" s="61"/>
      <c r="AT73" s="45" t="s">
        <v>2</v>
      </c>
      <c r="AU73" s="67"/>
      <c r="AV73" s="45" t="s">
        <v>2</v>
      </c>
      <c r="AW73" s="45"/>
      <c r="AX73" s="67"/>
      <c r="AY73" s="45" t="s">
        <v>2</v>
      </c>
      <c r="AZ73" s="45"/>
      <c r="BA73" s="67"/>
      <c r="BB73" s="61"/>
      <c r="BC73" s="45" t="s">
        <v>2</v>
      </c>
      <c r="BD73" s="67"/>
    </row>
    <row r="74" spans="3:56" ht="12" customHeight="1" x14ac:dyDescent="0.2">
      <c r="C74" s="70"/>
      <c r="D74" s="49" t="s">
        <v>3</v>
      </c>
      <c r="E74" s="71"/>
      <c r="F74" s="49" t="s">
        <v>3</v>
      </c>
      <c r="G74" s="49"/>
      <c r="H74" s="71"/>
      <c r="I74" s="49" t="s">
        <v>3</v>
      </c>
      <c r="J74" s="49"/>
      <c r="K74" s="71"/>
      <c r="L74" s="49" t="s">
        <v>3</v>
      </c>
      <c r="M74" s="49"/>
      <c r="N74" s="71"/>
      <c r="O74" s="45"/>
      <c r="P74" s="45"/>
      <c r="Q74" s="70"/>
      <c r="R74" s="49" t="s">
        <v>3</v>
      </c>
      <c r="S74" s="71"/>
      <c r="T74" s="49" t="s">
        <v>3</v>
      </c>
      <c r="U74" s="49"/>
      <c r="V74" s="71"/>
      <c r="W74" s="49" t="s">
        <v>3</v>
      </c>
      <c r="X74" s="49"/>
      <c r="Y74" s="71"/>
      <c r="Z74" s="49" t="s">
        <v>3</v>
      </c>
      <c r="AA74" s="49"/>
      <c r="AB74" s="71"/>
      <c r="AC74" s="45"/>
      <c r="AD74" s="45"/>
      <c r="AE74" s="70"/>
      <c r="AF74" s="49" t="s">
        <v>3</v>
      </c>
      <c r="AG74" s="71"/>
      <c r="AH74" s="49" t="s">
        <v>3</v>
      </c>
      <c r="AI74" s="49"/>
      <c r="AJ74" s="71"/>
      <c r="AK74" s="49" t="s">
        <v>3</v>
      </c>
      <c r="AL74" s="49"/>
      <c r="AM74" s="71"/>
      <c r="AN74" s="49" t="s">
        <v>3</v>
      </c>
      <c r="AP74" s="71"/>
      <c r="AS74" s="70"/>
      <c r="AT74" s="49" t="s">
        <v>3</v>
      </c>
      <c r="AU74" s="71"/>
      <c r="AV74" s="49" t="s">
        <v>3</v>
      </c>
      <c r="AW74" s="49"/>
      <c r="AX74" s="71"/>
      <c r="AY74" s="49" t="s">
        <v>3</v>
      </c>
      <c r="AZ74" s="49"/>
      <c r="BA74" s="71"/>
      <c r="BB74" s="70"/>
      <c r="BC74" s="49" t="s">
        <v>3</v>
      </c>
      <c r="BD74" s="71"/>
    </row>
    <row r="75" spans="3:56" ht="12" customHeight="1" x14ac:dyDescent="0.2"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P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</row>
    <row r="76" spans="3:56" ht="12" customHeight="1" x14ac:dyDescent="0.2">
      <c r="C76" s="132" t="s">
        <v>48</v>
      </c>
      <c r="D76" s="132"/>
      <c r="E76" s="132"/>
      <c r="F76" s="132"/>
      <c r="G76" s="132"/>
      <c r="H76" s="43"/>
      <c r="I76" s="43"/>
      <c r="J76" s="43"/>
      <c r="K76" s="43"/>
      <c r="L76" s="43"/>
      <c r="M76" s="43"/>
      <c r="N76" s="43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P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</row>
    <row r="77" spans="3:56" ht="12" customHeight="1" x14ac:dyDescent="0.2">
      <c r="C77" s="133"/>
      <c r="D77" s="133"/>
      <c r="E77" s="133"/>
      <c r="F77" s="133"/>
      <c r="G77" s="133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P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</row>
    <row r="78" spans="3:56" ht="12" customHeight="1" thickBot="1" x14ac:dyDescent="0.25">
      <c r="C78" s="61"/>
      <c r="D78" s="45" t="s">
        <v>0</v>
      </c>
      <c r="E78" s="45"/>
      <c r="F78" s="62"/>
      <c r="G78" s="45"/>
      <c r="H78" s="46" t="s">
        <v>0</v>
      </c>
      <c r="I78" s="46"/>
      <c r="J78" s="63"/>
      <c r="K78" s="46"/>
      <c r="L78" s="46" t="s">
        <v>0</v>
      </c>
      <c r="M78" s="46"/>
      <c r="N78" s="64"/>
      <c r="O78" s="45"/>
      <c r="P78" s="45"/>
      <c r="Q78" s="65"/>
      <c r="R78" s="46" t="s">
        <v>0</v>
      </c>
      <c r="S78" s="46"/>
      <c r="T78" s="63"/>
      <c r="U78" s="46"/>
      <c r="V78" s="46" t="s">
        <v>0</v>
      </c>
      <c r="W78" s="46"/>
      <c r="X78" s="63"/>
      <c r="Y78" s="46"/>
      <c r="Z78" s="46" t="s">
        <v>0</v>
      </c>
      <c r="AA78" s="46"/>
      <c r="AB78" s="64"/>
      <c r="AC78" s="45"/>
      <c r="AD78" s="45"/>
      <c r="AE78" s="65"/>
      <c r="AF78" s="46" t="s">
        <v>0</v>
      </c>
      <c r="AG78" s="46"/>
      <c r="AH78" s="63"/>
      <c r="AI78" s="46"/>
      <c r="AJ78" s="46" t="s">
        <v>0</v>
      </c>
      <c r="AK78" s="46"/>
      <c r="AL78" s="63"/>
      <c r="AM78" s="81"/>
      <c r="AN78" s="46" t="s">
        <v>0</v>
      </c>
      <c r="AP78" s="64"/>
      <c r="AS78" s="65"/>
      <c r="AT78" s="46" t="s">
        <v>0</v>
      </c>
      <c r="AU78" s="46"/>
      <c r="AV78" s="63"/>
      <c r="AW78" s="46"/>
      <c r="AX78" s="46" t="s">
        <v>0</v>
      </c>
      <c r="AY78" s="46"/>
      <c r="AZ78" s="63"/>
      <c r="BA78" s="81"/>
      <c r="BB78" s="46"/>
      <c r="BC78" s="46" t="s">
        <v>0</v>
      </c>
      <c r="BD78" s="64"/>
    </row>
    <row r="79" spans="3:56" ht="12" customHeight="1" x14ac:dyDescent="0.2">
      <c r="C79" s="61"/>
      <c r="D79" s="45" t="s">
        <v>1</v>
      </c>
      <c r="E79" s="45"/>
      <c r="F79" s="62"/>
      <c r="G79" s="47"/>
      <c r="H79" s="47" t="s">
        <v>1</v>
      </c>
      <c r="I79" s="47"/>
      <c r="J79" s="66"/>
      <c r="K79" s="45"/>
      <c r="L79" s="45" t="s">
        <v>1</v>
      </c>
      <c r="M79" s="45"/>
      <c r="N79" s="67"/>
      <c r="O79" s="45"/>
      <c r="P79" s="45"/>
      <c r="Q79" s="61"/>
      <c r="R79" s="45" t="s">
        <v>1</v>
      </c>
      <c r="S79" s="45"/>
      <c r="T79" s="62"/>
      <c r="U79" s="47"/>
      <c r="V79" s="47" t="s">
        <v>1</v>
      </c>
      <c r="W79" s="47"/>
      <c r="X79" s="66"/>
      <c r="Y79" s="45"/>
      <c r="Z79" s="45" t="s">
        <v>1</v>
      </c>
      <c r="AA79" s="45"/>
      <c r="AB79" s="67"/>
      <c r="AC79" s="45"/>
      <c r="AD79" s="45"/>
      <c r="AE79" s="61"/>
      <c r="AF79" s="45" t="s">
        <v>1</v>
      </c>
      <c r="AG79" s="45"/>
      <c r="AH79" s="62"/>
      <c r="AI79" s="47"/>
      <c r="AJ79" s="47" t="s">
        <v>1</v>
      </c>
      <c r="AK79" s="47"/>
      <c r="AL79" s="66"/>
      <c r="AM79" s="82"/>
      <c r="AN79" s="45" t="s">
        <v>1</v>
      </c>
      <c r="AP79" s="67"/>
      <c r="AS79" s="61"/>
      <c r="AT79" s="45" t="s">
        <v>1</v>
      </c>
      <c r="AU79" s="45"/>
      <c r="AV79" s="62"/>
      <c r="AW79" s="47"/>
      <c r="AX79" s="47" t="s">
        <v>1</v>
      </c>
      <c r="AY79" s="47"/>
      <c r="AZ79" s="66"/>
      <c r="BA79" s="82"/>
      <c r="BB79" s="45"/>
      <c r="BC79" s="45" t="s">
        <v>1</v>
      </c>
      <c r="BD79" s="67"/>
    </row>
    <row r="80" spans="3:56" ht="12" customHeight="1" x14ac:dyDescent="0.2">
      <c r="C80" s="61"/>
      <c r="D80" s="45" t="s">
        <v>2</v>
      </c>
      <c r="E80" s="45"/>
      <c r="F80" s="62"/>
      <c r="G80" s="45"/>
      <c r="H80" s="45" t="s">
        <v>2</v>
      </c>
      <c r="I80" s="45"/>
      <c r="J80" s="62"/>
      <c r="K80" s="45"/>
      <c r="L80" s="45" t="s">
        <v>2</v>
      </c>
      <c r="M80" s="45"/>
      <c r="N80" s="67"/>
      <c r="O80" s="45"/>
      <c r="P80" s="45"/>
      <c r="Q80" s="61"/>
      <c r="R80" s="45" t="s">
        <v>2</v>
      </c>
      <c r="S80" s="45"/>
      <c r="T80" s="62"/>
      <c r="U80" s="45"/>
      <c r="V80" s="45" t="s">
        <v>2</v>
      </c>
      <c r="W80" s="45"/>
      <c r="X80" s="62"/>
      <c r="Y80" s="45"/>
      <c r="Z80" s="45" t="s">
        <v>2</v>
      </c>
      <c r="AA80" s="45"/>
      <c r="AB80" s="67"/>
      <c r="AC80" s="45"/>
      <c r="AD80" s="45"/>
      <c r="AE80" s="61"/>
      <c r="AF80" s="45" t="s">
        <v>2</v>
      </c>
      <c r="AG80" s="45"/>
      <c r="AH80" s="62"/>
      <c r="AI80" s="45"/>
      <c r="AJ80" s="45" t="s">
        <v>2</v>
      </c>
      <c r="AK80" s="45"/>
      <c r="AL80" s="62"/>
      <c r="AM80" s="82"/>
      <c r="AN80" s="45" t="s">
        <v>2</v>
      </c>
      <c r="AP80" s="67"/>
      <c r="AS80" s="61"/>
      <c r="AT80" s="45" t="s">
        <v>2</v>
      </c>
      <c r="AU80" s="45"/>
      <c r="AV80" s="62"/>
      <c r="AW80" s="45"/>
      <c r="AX80" s="45" t="s">
        <v>2</v>
      </c>
      <c r="AY80" s="45"/>
      <c r="AZ80" s="62"/>
      <c r="BA80" s="82"/>
      <c r="BB80" s="45"/>
      <c r="BC80" s="45" t="s">
        <v>2</v>
      </c>
      <c r="BD80" s="67"/>
    </row>
    <row r="81" spans="3:56" ht="12" customHeight="1" thickBot="1" x14ac:dyDescent="0.25">
      <c r="C81" s="61"/>
      <c r="D81" s="45" t="s">
        <v>3</v>
      </c>
      <c r="E81" s="45"/>
      <c r="F81" s="68"/>
      <c r="G81" s="48"/>
      <c r="H81" s="48" t="s">
        <v>3</v>
      </c>
      <c r="I81" s="48"/>
      <c r="J81" s="69"/>
      <c r="K81" s="45"/>
      <c r="L81" s="45" t="s">
        <v>3</v>
      </c>
      <c r="M81" s="45"/>
      <c r="N81" s="67"/>
      <c r="O81" s="45"/>
      <c r="P81" s="45"/>
      <c r="Q81" s="61"/>
      <c r="R81" s="45" t="s">
        <v>3</v>
      </c>
      <c r="S81" s="45"/>
      <c r="T81" s="68"/>
      <c r="U81" s="48"/>
      <c r="V81" s="48" t="s">
        <v>3</v>
      </c>
      <c r="W81" s="48"/>
      <c r="X81" s="69"/>
      <c r="Y81" s="45"/>
      <c r="Z81" s="45" t="s">
        <v>3</v>
      </c>
      <c r="AA81" s="45"/>
      <c r="AB81" s="67"/>
      <c r="AC81" s="45"/>
      <c r="AD81" s="45"/>
      <c r="AE81" s="61"/>
      <c r="AF81" s="45" t="s">
        <v>3</v>
      </c>
      <c r="AG81" s="45"/>
      <c r="AH81" s="68"/>
      <c r="AI81" s="48"/>
      <c r="AJ81" s="48" t="s">
        <v>3</v>
      </c>
      <c r="AK81" s="48"/>
      <c r="AL81" s="69"/>
      <c r="AM81" s="83"/>
      <c r="AN81" s="45" t="s">
        <v>3</v>
      </c>
      <c r="AP81" s="67"/>
      <c r="AS81" s="61"/>
      <c r="AT81" s="45" t="s">
        <v>3</v>
      </c>
      <c r="AU81" s="45"/>
      <c r="AV81" s="68"/>
      <c r="AW81" s="48"/>
      <c r="AX81" s="48" t="s">
        <v>3</v>
      </c>
      <c r="AY81" s="48"/>
      <c r="AZ81" s="69"/>
      <c r="BA81" s="83"/>
      <c r="BB81" s="45"/>
      <c r="BC81" s="45" t="s">
        <v>3</v>
      </c>
      <c r="BD81" s="67"/>
    </row>
    <row r="82" spans="3:56" ht="12" customHeight="1" x14ac:dyDescent="0.2">
      <c r="C82" s="65"/>
      <c r="D82" s="46" t="s">
        <v>0</v>
      </c>
      <c r="E82" s="46"/>
      <c r="F82" s="67"/>
      <c r="G82" s="45"/>
      <c r="H82" s="40" t="s">
        <v>0</v>
      </c>
      <c r="I82" s="45"/>
      <c r="J82" s="62"/>
      <c r="K82" s="46"/>
      <c r="L82" s="46" t="s">
        <v>0</v>
      </c>
      <c r="M82" s="46"/>
      <c r="N82" s="64"/>
      <c r="O82" s="45"/>
      <c r="P82" s="45"/>
      <c r="Q82" s="65"/>
      <c r="R82" s="46" t="s">
        <v>0</v>
      </c>
      <c r="S82" s="46">
        <v>1</v>
      </c>
      <c r="T82" s="67"/>
      <c r="U82" s="45"/>
      <c r="V82" s="40" t="s">
        <v>0</v>
      </c>
      <c r="W82" s="45"/>
      <c r="X82" s="62"/>
      <c r="Y82" s="46"/>
      <c r="Z82" s="46" t="s">
        <v>0</v>
      </c>
      <c r="AA82" s="46"/>
      <c r="AB82" s="64"/>
      <c r="AC82" s="45"/>
      <c r="AD82" s="45"/>
      <c r="AE82" s="65"/>
      <c r="AF82" s="46" t="s">
        <v>0</v>
      </c>
      <c r="AG82" s="46"/>
      <c r="AH82" s="67"/>
      <c r="AI82" s="45"/>
      <c r="AJ82" s="40" t="s">
        <v>0</v>
      </c>
      <c r="AK82" s="45"/>
      <c r="AL82" s="62"/>
      <c r="AM82" s="46"/>
      <c r="AN82" s="46" t="s">
        <v>0</v>
      </c>
      <c r="AP82" s="64"/>
      <c r="AS82" s="65"/>
      <c r="AT82" s="46" t="s">
        <v>0</v>
      </c>
      <c r="AU82" s="46"/>
      <c r="AV82" s="67"/>
      <c r="AW82" s="45"/>
      <c r="AX82" s="40" t="s">
        <v>0</v>
      </c>
      <c r="AY82" s="45"/>
      <c r="AZ82" s="62"/>
      <c r="BA82" s="46"/>
      <c r="BB82" s="46"/>
      <c r="BC82" s="46" t="s">
        <v>0</v>
      </c>
      <c r="BD82" s="64"/>
    </row>
    <row r="83" spans="3:56" ht="12" customHeight="1" x14ac:dyDescent="0.2">
      <c r="C83" s="61"/>
      <c r="D83" s="45" t="s">
        <v>1</v>
      </c>
      <c r="E83" s="45"/>
      <c r="F83" s="67"/>
      <c r="G83" s="45"/>
      <c r="H83" s="38" t="s">
        <v>1</v>
      </c>
      <c r="I83" s="45">
        <v>1</v>
      </c>
      <c r="J83" s="67"/>
      <c r="K83" s="45"/>
      <c r="L83" s="45" t="s">
        <v>1</v>
      </c>
      <c r="M83" s="45"/>
      <c r="N83" s="67"/>
      <c r="O83" s="45"/>
      <c r="P83" s="45"/>
      <c r="Q83" s="61"/>
      <c r="R83" s="45" t="s">
        <v>1</v>
      </c>
      <c r="S83" s="45"/>
      <c r="T83" s="67"/>
      <c r="U83" s="45"/>
      <c r="V83" s="38" t="s">
        <v>1</v>
      </c>
      <c r="W83" s="45"/>
      <c r="X83" s="67"/>
      <c r="Y83" s="45"/>
      <c r="Z83" s="45" t="s">
        <v>1</v>
      </c>
      <c r="AA83" s="45"/>
      <c r="AB83" s="67"/>
      <c r="AC83" s="45"/>
      <c r="AD83" s="45"/>
      <c r="AE83" s="61"/>
      <c r="AF83" s="45" t="s">
        <v>1</v>
      </c>
      <c r="AG83" s="45"/>
      <c r="AH83" s="67"/>
      <c r="AI83" s="45"/>
      <c r="AJ83" s="38" t="s">
        <v>1</v>
      </c>
      <c r="AK83" s="45"/>
      <c r="AL83" s="67"/>
      <c r="AM83" s="45"/>
      <c r="AN83" s="45" t="s">
        <v>1</v>
      </c>
      <c r="AP83" s="67"/>
      <c r="AS83" s="61"/>
      <c r="AT83" s="45" t="s">
        <v>1</v>
      </c>
      <c r="AU83" s="45"/>
      <c r="AV83" s="67"/>
      <c r="AW83" s="45"/>
      <c r="AX83" s="38" t="s">
        <v>1</v>
      </c>
      <c r="AY83" s="45"/>
      <c r="AZ83" s="67"/>
      <c r="BA83" s="45"/>
      <c r="BB83" s="45"/>
      <c r="BC83" s="45" t="s">
        <v>1</v>
      </c>
      <c r="BD83" s="67"/>
    </row>
    <row r="84" spans="3:56" ht="12" customHeight="1" x14ac:dyDescent="0.2">
      <c r="C84" s="61"/>
      <c r="D84" s="45" t="s">
        <v>2</v>
      </c>
      <c r="E84" s="45"/>
      <c r="F84" s="67"/>
      <c r="G84" s="45"/>
      <c r="H84" s="38" t="s">
        <v>2</v>
      </c>
      <c r="I84" s="45">
        <v>1</v>
      </c>
      <c r="J84" s="67"/>
      <c r="K84" s="45"/>
      <c r="L84" s="45" t="s">
        <v>2</v>
      </c>
      <c r="M84" s="45"/>
      <c r="N84" s="67"/>
      <c r="O84" s="45"/>
      <c r="P84" s="45"/>
      <c r="Q84" s="61"/>
      <c r="R84" s="45" t="s">
        <v>2</v>
      </c>
      <c r="S84" s="45">
        <v>1</v>
      </c>
      <c r="T84" s="67"/>
      <c r="U84" s="45"/>
      <c r="V84" s="38" t="s">
        <v>2</v>
      </c>
      <c r="W84" s="45"/>
      <c r="X84" s="67"/>
      <c r="Y84" s="45"/>
      <c r="Z84" s="45" t="s">
        <v>2</v>
      </c>
      <c r="AA84" s="45"/>
      <c r="AB84" s="67"/>
      <c r="AC84" s="45"/>
      <c r="AD84" s="45"/>
      <c r="AE84" s="61"/>
      <c r="AF84" s="45" t="s">
        <v>2</v>
      </c>
      <c r="AG84" s="45"/>
      <c r="AH84" s="67"/>
      <c r="AI84" s="45"/>
      <c r="AJ84" s="38" t="s">
        <v>2</v>
      </c>
      <c r="AK84" s="45"/>
      <c r="AL84" s="67"/>
      <c r="AM84" s="45"/>
      <c r="AN84" s="45" t="s">
        <v>2</v>
      </c>
      <c r="AO84">
        <v>1</v>
      </c>
      <c r="AP84" s="67"/>
      <c r="AS84" s="61"/>
      <c r="AT84" s="45" t="s">
        <v>2</v>
      </c>
      <c r="AU84" s="45"/>
      <c r="AV84" s="67"/>
      <c r="AW84" s="45"/>
      <c r="AX84" s="38" t="s">
        <v>2</v>
      </c>
      <c r="AY84" s="45"/>
      <c r="AZ84" s="67"/>
      <c r="BA84" s="45"/>
      <c r="BB84" s="45"/>
      <c r="BC84" s="45" t="s">
        <v>2</v>
      </c>
      <c r="BD84" s="67"/>
    </row>
    <row r="85" spans="3:56" ht="12" customHeight="1" x14ac:dyDescent="0.2">
      <c r="C85" s="70"/>
      <c r="D85" s="49" t="s">
        <v>3</v>
      </c>
      <c r="E85" s="49"/>
      <c r="F85" s="71"/>
      <c r="G85" s="49"/>
      <c r="H85" s="39" t="s">
        <v>3</v>
      </c>
      <c r="I85" s="49"/>
      <c r="J85" s="71"/>
      <c r="K85" s="49"/>
      <c r="L85" s="49" t="s">
        <v>3</v>
      </c>
      <c r="M85" s="49"/>
      <c r="N85" s="71"/>
      <c r="O85" s="45"/>
      <c r="P85" s="45"/>
      <c r="Q85" s="70"/>
      <c r="R85" s="49" t="s">
        <v>3</v>
      </c>
      <c r="S85" s="49"/>
      <c r="T85" s="71"/>
      <c r="U85" s="49"/>
      <c r="V85" s="39" t="s">
        <v>3</v>
      </c>
      <c r="W85" s="49"/>
      <c r="X85" s="71"/>
      <c r="Y85" s="49"/>
      <c r="Z85" s="49" t="s">
        <v>3</v>
      </c>
      <c r="AA85" s="49"/>
      <c r="AB85" s="71"/>
      <c r="AC85" s="45"/>
      <c r="AD85" s="45"/>
      <c r="AE85" s="70"/>
      <c r="AF85" s="49" t="s">
        <v>3</v>
      </c>
      <c r="AG85" s="49"/>
      <c r="AH85" s="71"/>
      <c r="AI85" s="49"/>
      <c r="AJ85" s="39" t="s">
        <v>3</v>
      </c>
      <c r="AK85" s="49"/>
      <c r="AL85" s="71"/>
      <c r="AM85" s="49"/>
      <c r="AN85" s="49" t="s">
        <v>3</v>
      </c>
      <c r="AP85" s="71"/>
      <c r="AS85" s="70"/>
      <c r="AT85" s="49" t="s">
        <v>3</v>
      </c>
      <c r="AU85" s="49"/>
      <c r="AV85" s="71"/>
      <c r="AW85" s="49"/>
      <c r="AX85" s="39" t="s">
        <v>3</v>
      </c>
      <c r="AY85" s="49"/>
      <c r="AZ85" s="71"/>
      <c r="BA85" s="49"/>
      <c r="BB85" s="49"/>
      <c r="BC85" s="49" t="s">
        <v>3</v>
      </c>
      <c r="BD85" s="71"/>
    </row>
    <row r="86" spans="3:56" ht="12" customHeight="1" x14ac:dyDescent="0.2">
      <c r="C86" s="61"/>
      <c r="D86" s="45" t="s">
        <v>0</v>
      </c>
      <c r="E86" s="67"/>
      <c r="F86" s="45" t="s">
        <v>0</v>
      </c>
      <c r="G86" s="45"/>
      <c r="H86" s="67"/>
      <c r="I86" s="45" t="s">
        <v>0</v>
      </c>
      <c r="J86" s="45"/>
      <c r="K86" s="67"/>
      <c r="L86" s="45" t="s">
        <v>0</v>
      </c>
      <c r="M86" s="45"/>
      <c r="N86" s="67"/>
      <c r="O86" s="45"/>
      <c r="P86" s="45"/>
      <c r="Q86" s="61"/>
      <c r="R86" s="45" t="s">
        <v>0</v>
      </c>
      <c r="S86" s="67"/>
      <c r="T86" s="45" t="s">
        <v>0</v>
      </c>
      <c r="U86" s="45"/>
      <c r="V86" s="67"/>
      <c r="W86" s="45" t="s">
        <v>0</v>
      </c>
      <c r="X86" s="45"/>
      <c r="Y86" s="67"/>
      <c r="Z86" s="45" t="s">
        <v>0</v>
      </c>
      <c r="AA86" s="45"/>
      <c r="AB86" s="67"/>
      <c r="AC86" s="45"/>
      <c r="AD86" s="45"/>
      <c r="AE86" s="61"/>
      <c r="AF86" s="45" t="s">
        <v>0</v>
      </c>
      <c r="AG86" s="67"/>
      <c r="AH86" s="45" t="s">
        <v>0</v>
      </c>
      <c r="AI86" s="45"/>
      <c r="AJ86" s="67"/>
      <c r="AK86" s="45" t="s">
        <v>0</v>
      </c>
      <c r="AL86" s="45"/>
      <c r="AM86" s="67"/>
      <c r="AN86" s="45" t="s">
        <v>0</v>
      </c>
      <c r="AP86" s="67"/>
      <c r="AS86" s="61"/>
      <c r="AT86" s="45" t="s">
        <v>0</v>
      </c>
      <c r="AU86" s="67"/>
      <c r="AV86" s="45" t="s">
        <v>0</v>
      </c>
      <c r="AW86" s="45"/>
      <c r="AX86" s="67"/>
      <c r="AY86" s="45" t="s">
        <v>0</v>
      </c>
      <c r="AZ86" s="45"/>
      <c r="BA86" s="67"/>
      <c r="BB86" s="61"/>
      <c r="BC86" s="45" t="s">
        <v>0</v>
      </c>
      <c r="BD86" s="67"/>
    </row>
    <row r="87" spans="3:56" ht="12" customHeight="1" x14ac:dyDescent="0.2">
      <c r="C87" s="61"/>
      <c r="D87" s="45" t="s">
        <v>1</v>
      </c>
      <c r="E87" s="67"/>
      <c r="F87" s="45" t="s">
        <v>1</v>
      </c>
      <c r="G87" s="45"/>
      <c r="H87" s="67"/>
      <c r="I87" s="45" t="s">
        <v>1</v>
      </c>
      <c r="J87" s="45"/>
      <c r="K87" s="67"/>
      <c r="L87" s="45" t="s">
        <v>1</v>
      </c>
      <c r="M87" s="45"/>
      <c r="N87" s="67"/>
      <c r="O87" s="45"/>
      <c r="P87" s="45"/>
      <c r="Q87" s="61"/>
      <c r="R87" s="45" t="s">
        <v>1</v>
      </c>
      <c r="S87" s="67"/>
      <c r="T87" s="45" t="s">
        <v>1</v>
      </c>
      <c r="U87" s="45">
        <v>1</v>
      </c>
      <c r="V87" s="67"/>
      <c r="W87" s="45" t="s">
        <v>1</v>
      </c>
      <c r="X87" s="45"/>
      <c r="Y87" s="67"/>
      <c r="Z87" s="45" t="s">
        <v>1</v>
      </c>
      <c r="AA87" s="45"/>
      <c r="AB87" s="67"/>
      <c r="AC87" s="45"/>
      <c r="AD87" s="45"/>
      <c r="AE87" s="61"/>
      <c r="AF87" s="45" t="s">
        <v>1</v>
      </c>
      <c r="AG87" s="67"/>
      <c r="AH87" s="45" t="s">
        <v>1</v>
      </c>
      <c r="AI87" s="45"/>
      <c r="AJ87" s="67"/>
      <c r="AK87" s="45" t="s">
        <v>1</v>
      </c>
      <c r="AL87" s="45"/>
      <c r="AM87" s="67"/>
      <c r="AN87" s="45" t="s">
        <v>1</v>
      </c>
      <c r="AP87" s="67"/>
      <c r="AS87" s="61"/>
      <c r="AT87" s="45" t="s">
        <v>1</v>
      </c>
      <c r="AU87" s="67"/>
      <c r="AV87" s="45" t="s">
        <v>1</v>
      </c>
      <c r="AW87" s="45"/>
      <c r="AX87" s="67"/>
      <c r="AY87" s="45" t="s">
        <v>1</v>
      </c>
      <c r="AZ87" s="45"/>
      <c r="BA87" s="67"/>
      <c r="BB87" s="61"/>
      <c r="BC87" s="45" t="s">
        <v>1</v>
      </c>
      <c r="BD87" s="67"/>
    </row>
    <row r="88" spans="3:56" ht="12" customHeight="1" x14ac:dyDescent="0.2">
      <c r="C88" s="61"/>
      <c r="D88" s="45" t="s">
        <v>2</v>
      </c>
      <c r="E88" s="67"/>
      <c r="F88" s="45" t="s">
        <v>2</v>
      </c>
      <c r="G88" s="45"/>
      <c r="H88" s="67"/>
      <c r="I88" s="45" t="s">
        <v>2</v>
      </c>
      <c r="J88" s="45"/>
      <c r="K88" s="67"/>
      <c r="L88" s="45" t="s">
        <v>2</v>
      </c>
      <c r="M88" s="45"/>
      <c r="N88" s="67"/>
      <c r="O88" s="45"/>
      <c r="P88" s="45"/>
      <c r="Q88" s="61"/>
      <c r="R88" s="45" t="s">
        <v>2</v>
      </c>
      <c r="S88" s="67"/>
      <c r="T88" s="45" t="s">
        <v>2</v>
      </c>
      <c r="U88" s="45"/>
      <c r="V88" s="67"/>
      <c r="W88" s="45" t="s">
        <v>2</v>
      </c>
      <c r="X88" s="45"/>
      <c r="Y88" s="67"/>
      <c r="Z88" s="45" t="s">
        <v>2</v>
      </c>
      <c r="AA88" s="45"/>
      <c r="AB88" s="67"/>
      <c r="AC88" s="45"/>
      <c r="AD88" s="45"/>
      <c r="AE88" s="61"/>
      <c r="AF88" s="45" t="s">
        <v>2</v>
      </c>
      <c r="AG88" s="67"/>
      <c r="AH88" s="45" t="s">
        <v>2</v>
      </c>
      <c r="AI88" s="45"/>
      <c r="AJ88" s="67"/>
      <c r="AK88" s="45" t="s">
        <v>2</v>
      </c>
      <c r="AL88" s="45"/>
      <c r="AM88" s="67"/>
      <c r="AN88" s="45" t="s">
        <v>2</v>
      </c>
      <c r="AP88" s="67"/>
      <c r="AS88" s="61"/>
      <c r="AT88" s="45" t="s">
        <v>2</v>
      </c>
      <c r="AU88" s="67"/>
      <c r="AV88" s="45" t="s">
        <v>2</v>
      </c>
      <c r="AW88" s="45"/>
      <c r="AX88" s="67"/>
      <c r="AY88" s="45" t="s">
        <v>2</v>
      </c>
      <c r="AZ88" s="45"/>
      <c r="BA88" s="67"/>
      <c r="BB88" s="61"/>
      <c r="BC88" s="45" t="s">
        <v>2</v>
      </c>
      <c r="BD88" s="67"/>
    </row>
    <row r="89" spans="3:56" ht="12" customHeight="1" x14ac:dyDescent="0.2">
      <c r="C89" s="70"/>
      <c r="D89" s="49" t="s">
        <v>3</v>
      </c>
      <c r="E89" s="71"/>
      <c r="F89" s="49" t="s">
        <v>3</v>
      </c>
      <c r="G89" s="49"/>
      <c r="H89" s="71"/>
      <c r="I89" s="49" t="s">
        <v>3</v>
      </c>
      <c r="J89" s="49"/>
      <c r="K89" s="71"/>
      <c r="L89" s="49" t="s">
        <v>3</v>
      </c>
      <c r="M89" s="49"/>
      <c r="N89" s="71"/>
      <c r="O89" s="45"/>
      <c r="P89" s="45"/>
      <c r="Q89" s="70"/>
      <c r="R89" s="49" t="s">
        <v>3</v>
      </c>
      <c r="S89" s="71"/>
      <c r="T89" s="49" t="s">
        <v>3</v>
      </c>
      <c r="U89" s="49"/>
      <c r="V89" s="71"/>
      <c r="W89" s="49" t="s">
        <v>3</v>
      </c>
      <c r="X89" s="49"/>
      <c r="Y89" s="71"/>
      <c r="Z89" s="49" t="s">
        <v>3</v>
      </c>
      <c r="AA89" s="49"/>
      <c r="AB89" s="71"/>
      <c r="AC89" s="45"/>
      <c r="AD89" s="45"/>
      <c r="AE89" s="70"/>
      <c r="AF89" s="49" t="s">
        <v>3</v>
      </c>
      <c r="AG89" s="71"/>
      <c r="AH89" s="49" t="s">
        <v>3</v>
      </c>
      <c r="AI89" s="49"/>
      <c r="AJ89" s="71"/>
      <c r="AK89" s="49" t="s">
        <v>3</v>
      </c>
      <c r="AL89" s="49"/>
      <c r="AM89" s="71"/>
      <c r="AN89" s="49" t="s">
        <v>3</v>
      </c>
      <c r="AP89" s="71"/>
      <c r="AS89" s="70"/>
      <c r="AT89" s="49" t="s">
        <v>3</v>
      </c>
      <c r="AU89" s="71"/>
      <c r="AV89" s="49" t="s">
        <v>3</v>
      </c>
      <c r="AW89" s="49"/>
      <c r="AX89" s="71"/>
      <c r="AY89" s="49" t="s">
        <v>3</v>
      </c>
      <c r="AZ89" s="49"/>
      <c r="BA89" s="71"/>
      <c r="BB89" s="70"/>
      <c r="BC89" s="49" t="s">
        <v>3</v>
      </c>
      <c r="BD89" s="71"/>
    </row>
    <row r="90" spans="3:56" ht="12" customHeight="1" x14ac:dyDescent="0.2"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P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</row>
    <row r="91" spans="3:56" ht="12" customHeight="1" x14ac:dyDescent="0.2">
      <c r="C91" s="132" t="s">
        <v>47</v>
      </c>
      <c r="D91" s="132"/>
      <c r="E91" s="132"/>
      <c r="F91" s="132"/>
      <c r="G91" s="132"/>
      <c r="H91" s="43"/>
      <c r="I91" s="43"/>
      <c r="J91" s="43"/>
      <c r="K91" s="43"/>
      <c r="L91" s="43"/>
      <c r="M91" s="43"/>
      <c r="N91" s="43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P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</row>
    <row r="92" spans="3:56" ht="12" customHeight="1" x14ac:dyDescent="0.2">
      <c r="C92" s="133"/>
      <c r="D92" s="133"/>
      <c r="E92" s="133"/>
      <c r="F92" s="133"/>
      <c r="G92" s="133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P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</row>
    <row r="93" spans="3:56" ht="12" customHeight="1" thickBot="1" x14ac:dyDescent="0.25">
      <c r="C93" s="61"/>
      <c r="D93" s="45" t="s">
        <v>0</v>
      </c>
      <c r="E93" s="45"/>
      <c r="F93" s="62"/>
      <c r="G93" s="45"/>
      <c r="H93" s="46" t="s">
        <v>0</v>
      </c>
      <c r="I93" s="46"/>
      <c r="J93" s="63"/>
      <c r="K93" s="46"/>
      <c r="L93" s="46" t="s">
        <v>0</v>
      </c>
      <c r="M93" s="46"/>
      <c r="N93" s="64"/>
      <c r="O93" s="45"/>
      <c r="P93" s="45"/>
      <c r="Q93" s="65"/>
      <c r="R93" s="46" t="s">
        <v>0</v>
      </c>
      <c r="S93" s="46"/>
      <c r="T93" s="63"/>
      <c r="U93" s="46"/>
      <c r="V93" s="46" t="s">
        <v>0</v>
      </c>
      <c r="W93" s="46"/>
      <c r="X93" s="63"/>
      <c r="Y93" s="46"/>
      <c r="Z93" s="46" t="s">
        <v>0</v>
      </c>
      <c r="AA93" s="46"/>
      <c r="AB93" s="64"/>
      <c r="AC93" s="45"/>
      <c r="AD93" s="45"/>
      <c r="AE93" s="65"/>
      <c r="AF93" s="46" t="s">
        <v>0</v>
      </c>
      <c r="AG93" s="46"/>
      <c r="AH93" s="63"/>
      <c r="AI93" s="46"/>
      <c r="AJ93" s="46" t="s">
        <v>0</v>
      </c>
      <c r="AK93" s="46"/>
      <c r="AL93" s="63"/>
      <c r="AM93" s="81"/>
      <c r="AN93" s="46" t="s">
        <v>0</v>
      </c>
      <c r="AP93" s="64"/>
      <c r="AS93" s="65"/>
      <c r="AT93" s="46" t="s">
        <v>0</v>
      </c>
      <c r="AU93" s="46"/>
      <c r="AV93" s="63"/>
      <c r="AW93" s="46"/>
      <c r="AX93" s="46" t="s">
        <v>0</v>
      </c>
      <c r="AY93" s="46"/>
      <c r="AZ93" s="63"/>
      <c r="BA93" s="81"/>
      <c r="BB93" s="46"/>
      <c r="BC93" s="46" t="s">
        <v>0</v>
      </c>
      <c r="BD93" s="64"/>
    </row>
    <row r="94" spans="3:56" ht="12" customHeight="1" x14ac:dyDescent="0.2">
      <c r="C94" s="61"/>
      <c r="D94" s="45" t="s">
        <v>1</v>
      </c>
      <c r="E94" s="45"/>
      <c r="F94" s="62"/>
      <c r="G94" s="47"/>
      <c r="H94" s="47" t="s">
        <v>1</v>
      </c>
      <c r="I94" s="47"/>
      <c r="J94" s="66"/>
      <c r="K94" s="45"/>
      <c r="L94" s="45" t="s">
        <v>1</v>
      </c>
      <c r="M94" s="45"/>
      <c r="N94" s="67"/>
      <c r="O94" s="45"/>
      <c r="P94" s="45"/>
      <c r="Q94" s="61"/>
      <c r="R94" s="45" t="s">
        <v>1</v>
      </c>
      <c r="S94" s="45"/>
      <c r="T94" s="62"/>
      <c r="U94" s="47"/>
      <c r="V94" s="47" t="s">
        <v>1</v>
      </c>
      <c r="W94" s="47"/>
      <c r="X94" s="66"/>
      <c r="Y94" s="45"/>
      <c r="Z94" s="45" t="s">
        <v>1</v>
      </c>
      <c r="AA94" s="45"/>
      <c r="AB94" s="67"/>
      <c r="AC94" s="45"/>
      <c r="AD94" s="45"/>
      <c r="AE94" s="61"/>
      <c r="AF94" s="45" t="s">
        <v>1</v>
      </c>
      <c r="AG94" s="45"/>
      <c r="AH94" s="62"/>
      <c r="AI94" s="47"/>
      <c r="AJ94" s="47" t="s">
        <v>1</v>
      </c>
      <c r="AK94" s="47"/>
      <c r="AL94" s="66"/>
      <c r="AM94" s="82"/>
      <c r="AN94" s="45" t="s">
        <v>1</v>
      </c>
      <c r="AP94" s="67"/>
      <c r="AS94" s="61"/>
      <c r="AT94" s="45" t="s">
        <v>1</v>
      </c>
      <c r="AU94" s="45"/>
      <c r="AV94" s="62"/>
      <c r="AW94" s="47"/>
      <c r="AX94" s="47" t="s">
        <v>1</v>
      </c>
      <c r="AY94" s="47"/>
      <c r="AZ94" s="66"/>
      <c r="BA94" s="82"/>
      <c r="BB94" s="45"/>
      <c r="BC94" s="45" t="s">
        <v>1</v>
      </c>
      <c r="BD94" s="67"/>
    </row>
    <row r="95" spans="3:56" ht="12" customHeight="1" x14ac:dyDescent="0.2">
      <c r="C95" s="61"/>
      <c r="D95" s="45" t="s">
        <v>2</v>
      </c>
      <c r="E95" s="45"/>
      <c r="F95" s="62"/>
      <c r="G95" s="45"/>
      <c r="H95" s="45" t="s">
        <v>2</v>
      </c>
      <c r="I95" s="45"/>
      <c r="J95" s="62"/>
      <c r="K95" s="45"/>
      <c r="L95" s="45" t="s">
        <v>2</v>
      </c>
      <c r="M95" s="45"/>
      <c r="N95" s="67"/>
      <c r="O95" s="45"/>
      <c r="P95" s="45"/>
      <c r="Q95" s="61"/>
      <c r="R95" s="45" t="s">
        <v>2</v>
      </c>
      <c r="S95" s="45"/>
      <c r="T95" s="62"/>
      <c r="U95" s="45"/>
      <c r="V95" s="45" t="s">
        <v>2</v>
      </c>
      <c r="W95" s="45"/>
      <c r="X95" s="62"/>
      <c r="Y95" s="45"/>
      <c r="Z95" s="45" t="s">
        <v>2</v>
      </c>
      <c r="AA95" s="45"/>
      <c r="AB95" s="67"/>
      <c r="AC95" s="45"/>
      <c r="AD95" s="45"/>
      <c r="AE95" s="61"/>
      <c r="AF95" s="45" t="s">
        <v>2</v>
      </c>
      <c r="AG95" s="45"/>
      <c r="AH95" s="62"/>
      <c r="AI95" s="45"/>
      <c r="AJ95" s="45" t="s">
        <v>2</v>
      </c>
      <c r="AK95" s="45"/>
      <c r="AL95" s="62"/>
      <c r="AM95" s="82"/>
      <c r="AN95" s="45" t="s">
        <v>2</v>
      </c>
      <c r="AP95" s="67"/>
      <c r="AS95" s="61"/>
      <c r="AT95" s="45" t="s">
        <v>2</v>
      </c>
      <c r="AU95" s="45"/>
      <c r="AV95" s="62"/>
      <c r="AW95" s="45"/>
      <c r="AX95" s="45" t="s">
        <v>2</v>
      </c>
      <c r="AY95" s="45"/>
      <c r="AZ95" s="62"/>
      <c r="BA95" s="82"/>
      <c r="BB95" s="45"/>
      <c r="BC95" s="45" t="s">
        <v>2</v>
      </c>
      <c r="BD95" s="67"/>
    </row>
    <row r="96" spans="3:56" ht="12" customHeight="1" thickBot="1" x14ac:dyDescent="0.25">
      <c r="C96" s="61"/>
      <c r="D96" s="45" t="s">
        <v>3</v>
      </c>
      <c r="E96" s="45"/>
      <c r="F96" s="68"/>
      <c r="G96" s="48"/>
      <c r="H96" s="48" t="s">
        <v>3</v>
      </c>
      <c r="I96" s="48"/>
      <c r="J96" s="69"/>
      <c r="K96" s="45"/>
      <c r="L96" s="45" t="s">
        <v>3</v>
      </c>
      <c r="M96" s="45"/>
      <c r="N96" s="67"/>
      <c r="O96" s="45"/>
      <c r="P96" s="45"/>
      <c r="Q96" s="61"/>
      <c r="R96" s="45" t="s">
        <v>3</v>
      </c>
      <c r="S96" s="45"/>
      <c r="T96" s="68"/>
      <c r="U96" s="48"/>
      <c r="V96" s="48" t="s">
        <v>3</v>
      </c>
      <c r="W96" s="48"/>
      <c r="X96" s="69"/>
      <c r="Y96" s="45"/>
      <c r="Z96" s="45" t="s">
        <v>3</v>
      </c>
      <c r="AA96" s="45"/>
      <c r="AB96" s="67"/>
      <c r="AC96" s="45"/>
      <c r="AD96" s="45"/>
      <c r="AE96" s="61"/>
      <c r="AF96" s="45" t="s">
        <v>3</v>
      </c>
      <c r="AG96" s="45"/>
      <c r="AH96" s="68"/>
      <c r="AI96" s="48"/>
      <c r="AJ96" s="48" t="s">
        <v>3</v>
      </c>
      <c r="AK96" s="48"/>
      <c r="AL96" s="69"/>
      <c r="AM96" s="83"/>
      <c r="AN96" s="45" t="s">
        <v>3</v>
      </c>
      <c r="AP96" s="67"/>
      <c r="AS96" s="61"/>
      <c r="AT96" s="45" t="s">
        <v>3</v>
      </c>
      <c r="AU96" s="45"/>
      <c r="AV96" s="68"/>
      <c r="AW96" s="48"/>
      <c r="AX96" s="48" t="s">
        <v>3</v>
      </c>
      <c r="AY96" s="48"/>
      <c r="AZ96" s="69"/>
      <c r="BA96" s="83"/>
      <c r="BB96" s="45"/>
      <c r="BC96" s="45" t="s">
        <v>3</v>
      </c>
      <c r="BD96" s="67"/>
    </row>
    <row r="97" spans="3:56" ht="12" customHeight="1" x14ac:dyDescent="0.2">
      <c r="C97" s="65"/>
      <c r="D97" s="46" t="s">
        <v>0</v>
      </c>
      <c r="E97" s="46"/>
      <c r="F97" s="67"/>
      <c r="G97" s="45"/>
      <c r="H97" s="40" t="s">
        <v>0</v>
      </c>
      <c r="I97" s="45"/>
      <c r="J97" s="62"/>
      <c r="K97" s="46"/>
      <c r="L97" s="46" t="s">
        <v>0</v>
      </c>
      <c r="M97" s="46"/>
      <c r="N97" s="64"/>
      <c r="O97" s="45"/>
      <c r="P97" s="45"/>
      <c r="Q97" s="65"/>
      <c r="R97" s="46" t="s">
        <v>0</v>
      </c>
      <c r="S97" s="46"/>
      <c r="T97" s="67"/>
      <c r="U97" s="45"/>
      <c r="V97" s="40" t="s">
        <v>0</v>
      </c>
      <c r="W97" s="45"/>
      <c r="X97" s="62"/>
      <c r="Y97" s="46"/>
      <c r="Z97" s="46" t="s">
        <v>0</v>
      </c>
      <c r="AA97" s="46"/>
      <c r="AB97" s="64"/>
      <c r="AC97" s="45"/>
      <c r="AD97" s="45"/>
      <c r="AE97" s="65"/>
      <c r="AF97" s="46" t="s">
        <v>0</v>
      </c>
      <c r="AG97" s="46"/>
      <c r="AH97" s="67"/>
      <c r="AI97" s="45"/>
      <c r="AJ97" s="40" t="s">
        <v>0</v>
      </c>
      <c r="AK97" s="45"/>
      <c r="AL97" s="62"/>
      <c r="AM97" s="46"/>
      <c r="AN97" s="46" t="s">
        <v>0</v>
      </c>
      <c r="AP97" s="64"/>
      <c r="AS97" s="65"/>
      <c r="AT97" s="46" t="s">
        <v>0</v>
      </c>
      <c r="AU97" s="46"/>
      <c r="AV97" s="67"/>
      <c r="AW97" s="45"/>
      <c r="AX97" s="40" t="s">
        <v>0</v>
      </c>
      <c r="AY97" s="45"/>
      <c r="AZ97" s="62"/>
      <c r="BA97" s="46"/>
      <c r="BB97" s="46"/>
      <c r="BC97" s="46" t="s">
        <v>0</v>
      </c>
      <c r="BD97" s="64"/>
    </row>
    <row r="98" spans="3:56" ht="12" customHeight="1" x14ac:dyDescent="0.2">
      <c r="C98" s="61"/>
      <c r="D98" s="45" t="s">
        <v>1</v>
      </c>
      <c r="E98" s="45"/>
      <c r="F98" s="67"/>
      <c r="G98" s="45"/>
      <c r="H98" s="38" t="s">
        <v>1</v>
      </c>
      <c r="I98" s="45"/>
      <c r="J98" s="67"/>
      <c r="K98" s="45"/>
      <c r="L98" s="45" t="s">
        <v>1</v>
      </c>
      <c r="M98" s="45"/>
      <c r="N98" s="67"/>
      <c r="O98" s="45"/>
      <c r="P98" s="45"/>
      <c r="Q98" s="61"/>
      <c r="R98" s="45" t="s">
        <v>1</v>
      </c>
      <c r="S98" s="45"/>
      <c r="T98" s="67"/>
      <c r="U98" s="45"/>
      <c r="V98" s="38" t="s">
        <v>1</v>
      </c>
      <c r="W98" s="45"/>
      <c r="X98" s="67"/>
      <c r="Y98" s="45"/>
      <c r="Z98" s="45" t="s">
        <v>1</v>
      </c>
      <c r="AA98" s="45"/>
      <c r="AB98" s="67"/>
      <c r="AC98" s="45"/>
      <c r="AD98" s="45"/>
      <c r="AE98" s="61"/>
      <c r="AF98" s="45" t="s">
        <v>1</v>
      </c>
      <c r="AG98" s="45"/>
      <c r="AH98" s="67"/>
      <c r="AI98" s="45"/>
      <c r="AJ98" s="38" t="s">
        <v>1</v>
      </c>
      <c r="AK98" s="45"/>
      <c r="AL98" s="67"/>
      <c r="AM98" s="45"/>
      <c r="AN98" s="45" t="s">
        <v>1</v>
      </c>
      <c r="AP98" s="67"/>
      <c r="AS98" s="61"/>
      <c r="AT98" s="45" t="s">
        <v>1</v>
      </c>
      <c r="AU98" s="45"/>
      <c r="AV98" s="67"/>
      <c r="AW98" s="45"/>
      <c r="AX98" s="38" t="s">
        <v>1</v>
      </c>
      <c r="AY98" s="45"/>
      <c r="AZ98" s="67"/>
      <c r="BA98" s="45"/>
      <c r="BB98" s="45"/>
      <c r="BC98" s="45" t="s">
        <v>1</v>
      </c>
      <c r="BD98" s="67"/>
    </row>
    <row r="99" spans="3:56" ht="12" customHeight="1" x14ac:dyDescent="0.2">
      <c r="C99" s="61"/>
      <c r="D99" s="45" t="s">
        <v>2</v>
      </c>
      <c r="E99" s="45"/>
      <c r="F99" s="67"/>
      <c r="G99" s="45"/>
      <c r="H99" s="38" t="s">
        <v>2</v>
      </c>
      <c r="I99" s="45"/>
      <c r="J99" s="67"/>
      <c r="K99" s="45"/>
      <c r="L99" s="45" t="s">
        <v>2</v>
      </c>
      <c r="M99" s="45"/>
      <c r="N99" s="67"/>
      <c r="O99" s="45"/>
      <c r="P99" s="45"/>
      <c r="Q99" s="61"/>
      <c r="R99" s="45" t="s">
        <v>2</v>
      </c>
      <c r="S99" s="45"/>
      <c r="T99" s="67"/>
      <c r="U99" s="45"/>
      <c r="V99" s="38" t="s">
        <v>2</v>
      </c>
      <c r="W99" s="45"/>
      <c r="X99" s="67"/>
      <c r="Y99" s="45"/>
      <c r="Z99" s="45" t="s">
        <v>2</v>
      </c>
      <c r="AA99" s="45"/>
      <c r="AB99" s="67"/>
      <c r="AC99" s="45"/>
      <c r="AD99" s="45"/>
      <c r="AE99" s="61"/>
      <c r="AF99" s="45" t="s">
        <v>2</v>
      </c>
      <c r="AG99" s="45"/>
      <c r="AH99" s="67"/>
      <c r="AI99" s="45"/>
      <c r="AJ99" s="38" t="s">
        <v>2</v>
      </c>
      <c r="AK99" s="45"/>
      <c r="AL99" s="67"/>
      <c r="AM99" s="45"/>
      <c r="AN99" s="45" t="s">
        <v>2</v>
      </c>
      <c r="AP99" s="67"/>
      <c r="AS99" s="61"/>
      <c r="AT99" s="45" t="s">
        <v>2</v>
      </c>
      <c r="AU99" s="45"/>
      <c r="AV99" s="67"/>
      <c r="AW99" s="45"/>
      <c r="AX99" s="38" t="s">
        <v>2</v>
      </c>
      <c r="AY99" s="45"/>
      <c r="AZ99" s="67"/>
      <c r="BA99" s="45"/>
      <c r="BB99" s="45"/>
      <c r="BC99" s="45" t="s">
        <v>2</v>
      </c>
      <c r="BD99" s="67"/>
    </row>
    <row r="100" spans="3:56" ht="12" customHeight="1" x14ac:dyDescent="0.2">
      <c r="C100" s="70"/>
      <c r="D100" s="49" t="s">
        <v>3</v>
      </c>
      <c r="E100" s="49"/>
      <c r="F100" s="71"/>
      <c r="G100" s="49"/>
      <c r="H100" s="39" t="s">
        <v>3</v>
      </c>
      <c r="I100" s="49"/>
      <c r="J100" s="71"/>
      <c r="K100" s="49"/>
      <c r="L100" s="49" t="s">
        <v>3</v>
      </c>
      <c r="M100" s="49"/>
      <c r="N100" s="71"/>
      <c r="O100" s="45"/>
      <c r="P100" s="45"/>
      <c r="Q100" s="70"/>
      <c r="R100" s="49" t="s">
        <v>3</v>
      </c>
      <c r="S100" s="49"/>
      <c r="T100" s="71"/>
      <c r="U100" s="49"/>
      <c r="V100" s="39" t="s">
        <v>3</v>
      </c>
      <c r="W100" s="49"/>
      <c r="X100" s="71"/>
      <c r="Y100" s="49"/>
      <c r="Z100" s="49" t="s">
        <v>3</v>
      </c>
      <c r="AA100" s="49"/>
      <c r="AB100" s="71"/>
      <c r="AC100" s="45"/>
      <c r="AD100" s="45"/>
      <c r="AE100" s="70"/>
      <c r="AF100" s="49" t="s">
        <v>3</v>
      </c>
      <c r="AG100" s="49"/>
      <c r="AH100" s="71"/>
      <c r="AI100" s="49"/>
      <c r="AJ100" s="39" t="s">
        <v>3</v>
      </c>
      <c r="AK100" s="49"/>
      <c r="AL100" s="71"/>
      <c r="AM100" s="49"/>
      <c r="AN100" s="49" t="s">
        <v>3</v>
      </c>
      <c r="AP100" s="71"/>
      <c r="AS100" s="70"/>
      <c r="AT100" s="49" t="s">
        <v>3</v>
      </c>
      <c r="AU100" s="49"/>
      <c r="AV100" s="71"/>
      <c r="AW100" s="49"/>
      <c r="AX100" s="39" t="s">
        <v>3</v>
      </c>
      <c r="AY100" s="49"/>
      <c r="AZ100" s="71"/>
      <c r="BA100" s="49"/>
      <c r="BB100" s="49"/>
      <c r="BC100" s="49" t="s">
        <v>3</v>
      </c>
      <c r="BD100" s="71"/>
    </row>
    <row r="101" spans="3:56" ht="12" customHeight="1" x14ac:dyDescent="0.2">
      <c r="C101" s="61"/>
      <c r="D101" s="45" t="s">
        <v>0</v>
      </c>
      <c r="E101" s="67"/>
      <c r="F101" s="45" t="s">
        <v>0</v>
      </c>
      <c r="G101" s="45"/>
      <c r="H101" s="67"/>
      <c r="I101" s="45" t="s">
        <v>0</v>
      </c>
      <c r="J101" s="45"/>
      <c r="K101" s="67"/>
      <c r="L101" s="45" t="s">
        <v>0</v>
      </c>
      <c r="M101" s="45"/>
      <c r="N101" s="67"/>
      <c r="O101" s="45"/>
      <c r="P101" s="45"/>
      <c r="Q101" s="61"/>
      <c r="R101" s="45" t="s">
        <v>0</v>
      </c>
      <c r="S101" s="67"/>
      <c r="T101" s="45" t="s">
        <v>0</v>
      </c>
      <c r="U101" s="45"/>
      <c r="V101" s="67"/>
      <c r="W101" s="45" t="s">
        <v>0</v>
      </c>
      <c r="X101" s="45"/>
      <c r="Y101" s="67"/>
      <c r="Z101" s="45" t="s">
        <v>0</v>
      </c>
      <c r="AA101" s="45"/>
      <c r="AB101" s="67"/>
      <c r="AC101" s="45"/>
      <c r="AD101" s="45"/>
      <c r="AE101" s="61"/>
      <c r="AF101" s="45" t="s">
        <v>0</v>
      </c>
      <c r="AG101" s="67"/>
      <c r="AH101" s="45" t="s">
        <v>0</v>
      </c>
      <c r="AI101" s="45"/>
      <c r="AJ101" s="67"/>
      <c r="AK101" s="45" t="s">
        <v>0</v>
      </c>
      <c r="AL101" s="45"/>
      <c r="AM101" s="67"/>
      <c r="AN101" s="45" t="s">
        <v>0</v>
      </c>
      <c r="AP101" s="67"/>
      <c r="AS101" s="61"/>
      <c r="AT101" s="45" t="s">
        <v>0</v>
      </c>
      <c r="AU101" s="67"/>
      <c r="AV101" s="45" t="s">
        <v>0</v>
      </c>
      <c r="AW101" s="45"/>
      <c r="AX101" s="67"/>
      <c r="AY101" s="45" t="s">
        <v>0</v>
      </c>
      <c r="AZ101" s="45"/>
      <c r="BA101" s="67"/>
      <c r="BB101" s="61"/>
      <c r="BC101" s="45" t="s">
        <v>0</v>
      </c>
      <c r="BD101" s="67"/>
    </row>
    <row r="102" spans="3:56" ht="12" customHeight="1" x14ac:dyDescent="0.2">
      <c r="C102" s="61"/>
      <c r="D102" s="45" t="s">
        <v>1</v>
      </c>
      <c r="E102" s="67"/>
      <c r="F102" s="45" t="s">
        <v>1</v>
      </c>
      <c r="G102" s="45"/>
      <c r="H102" s="67"/>
      <c r="I102" s="45" t="s">
        <v>1</v>
      </c>
      <c r="J102" s="45"/>
      <c r="K102" s="67"/>
      <c r="L102" s="45" t="s">
        <v>1</v>
      </c>
      <c r="M102" s="45"/>
      <c r="N102" s="67"/>
      <c r="O102" s="45"/>
      <c r="P102" s="45"/>
      <c r="Q102" s="61"/>
      <c r="R102" s="45" t="s">
        <v>1</v>
      </c>
      <c r="S102" s="67"/>
      <c r="T102" s="45" t="s">
        <v>1</v>
      </c>
      <c r="U102" s="45"/>
      <c r="V102" s="67"/>
      <c r="W102" s="45" t="s">
        <v>1</v>
      </c>
      <c r="X102" s="45"/>
      <c r="Y102" s="67"/>
      <c r="Z102" s="45" t="s">
        <v>1</v>
      </c>
      <c r="AA102" s="45"/>
      <c r="AB102" s="67"/>
      <c r="AC102" s="45"/>
      <c r="AD102" s="45"/>
      <c r="AE102" s="61"/>
      <c r="AF102" s="45" t="s">
        <v>1</v>
      </c>
      <c r="AG102" s="67"/>
      <c r="AH102" s="45" t="s">
        <v>1</v>
      </c>
      <c r="AI102" s="45"/>
      <c r="AJ102" s="67"/>
      <c r="AK102" s="45" t="s">
        <v>1</v>
      </c>
      <c r="AL102" s="45"/>
      <c r="AM102" s="67"/>
      <c r="AN102" s="45" t="s">
        <v>1</v>
      </c>
      <c r="AP102" s="67"/>
      <c r="AS102" s="61"/>
      <c r="AT102" s="45" t="s">
        <v>1</v>
      </c>
      <c r="AU102" s="67"/>
      <c r="AV102" s="45" t="s">
        <v>1</v>
      </c>
      <c r="AW102" s="45"/>
      <c r="AX102" s="67"/>
      <c r="AY102" s="45" t="s">
        <v>1</v>
      </c>
      <c r="AZ102" s="45"/>
      <c r="BA102" s="67"/>
      <c r="BB102" s="61"/>
      <c r="BC102" s="45" t="s">
        <v>1</v>
      </c>
      <c r="BD102" s="67"/>
    </row>
    <row r="103" spans="3:56" ht="12" customHeight="1" x14ac:dyDescent="0.2">
      <c r="C103" s="61"/>
      <c r="D103" s="45" t="s">
        <v>2</v>
      </c>
      <c r="E103" s="67"/>
      <c r="F103" s="45" t="s">
        <v>2</v>
      </c>
      <c r="G103" s="45"/>
      <c r="H103" s="67"/>
      <c r="I103" s="45" t="s">
        <v>2</v>
      </c>
      <c r="J103" s="45"/>
      <c r="K103" s="67"/>
      <c r="L103" s="45" t="s">
        <v>2</v>
      </c>
      <c r="M103" s="45"/>
      <c r="N103" s="67"/>
      <c r="O103" s="45"/>
      <c r="P103" s="45"/>
      <c r="Q103" s="61"/>
      <c r="R103" s="45" t="s">
        <v>2</v>
      </c>
      <c r="S103" s="67"/>
      <c r="T103" s="45" t="s">
        <v>2</v>
      </c>
      <c r="U103" s="45"/>
      <c r="V103" s="67"/>
      <c r="W103" s="45" t="s">
        <v>2</v>
      </c>
      <c r="X103" s="45"/>
      <c r="Y103" s="67"/>
      <c r="Z103" s="45" t="s">
        <v>2</v>
      </c>
      <c r="AA103" s="45"/>
      <c r="AB103" s="67"/>
      <c r="AC103" s="45"/>
      <c r="AD103" s="45"/>
      <c r="AE103" s="61"/>
      <c r="AF103" s="45" t="s">
        <v>2</v>
      </c>
      <c r="AG103" s="67"/>
      <c r="AH103" s="45" t="s">
        <v>2</v>
      </c>
      <c r="AI103" s="45"/>
      <c r="AJ103" s="67"/>
      <c r="AK103" s="45" t="s">
        <v>2</v>
      </c>
      <c r="AL103" s="45"/>
      <c r="AM103" s="67"/>
      <c r="AN103" s="45" t="s">
        <v>2</v>
      </c>
      <c r="AP103" s="67"/>
      <c r="AS103" s="61"/>
      <c r="AT103" s="45" t="s">
        <v>2</v>
      </c>
      <c r="AU103" s="67"/>
      <c r="AV103" s="45" t="s">
        <v>2</v>
      </c>
      <c r="AW103" s="45"/>
      <c r="AX103" s="67"/>
      <c r="AY103" s="45" t="s">
        <v>2</v>
      </c>
      <c r="AZ103" s="45"/>
      <c r="BA103" s="67"/>
      <c r="BB103" s="61"/>
      <c r="BC103" s="45" t="s">
        <v>2</v>
      </c>
      <c r="BD103" s="67"/>
    </row>
    <row r="104" spans="3:56" ht="12" customHeight="1" x14ac:dyDescent="0.2">
      <c r="C104" s="70"/>
      <c r="D104" s="49" t="s">
        <v>3</v>
      </c>
      <c r="E104" s="71"/>
      <c r="F104" s="49" t="s">
        <v>3</v>
      </c>
      <c r="G104" s="49"/>
      <c r="H104" s="71"/>
      <c r="I104" s="49" t="s">
        <v>3</v>
      </c>
      <c r="J104" s="49"/>
      <c r="K104" s="71"/>
      <c r="L104" s="49" t="s">
        <v>3</v>
      </c>
      <c r="M104" s="49"/>
      <c r="N104" s="71"/>
      <c r="O104" s="45"/>
      <c r="P104" s="45"/>
      <c r="Q104" s="70"/>
      <c r="R104" s="49" t="s">
        <v>3</v>
      </c>
      <c r="S104" s="71"/>
      <c r="T104" s="49" t="s">
        <v>3</v>
      </c>
      <c r="U104" s="49"/>
      <c r="V104" s="71"/>
      <c r="W104" s="49" t="s">
        <v>3</v>
      </c>
      <c r="X104" s="49"/>
      <c r="Y104" s="71"/>
      <c r="Z104" s="49" t="s">
        <v>3</v>
      </c>
      <c r="AA104" s="49"/>
      <c r="AB104" s="71"/>
      <c r="AC104" s="45"/>
      <c r="AD104" s="45"/>
      <c r="AE104" s="70"/>
      <c r="AF104" s="49" t="s">
        <v>3</v>
      </c>
      <c r="AG104" s="71"/>
      <c r="AH104" s="49" t="s">
        <v>3</v>
      </c>
      <c r="AI104" s="49"/>
      <c r="AJ104" s="71"/>
      <c r="AK104" s="49" t="s">
        <v>3</v>
      </c>
      <c r="AL104" s="49"/>
      <c r="AM104" s="71"/>
      <c r="AN104" s="49" t="s">
        <v>3</v>
      </c>
      <c r="AP104" s="71"/>
      <c r="AS104" s="70"/>
      <c r="AT104" s="49" t="s">
        <v>3</v>
      </c>
      <c r="AU104" s="71"/>
      <c r="AV104" s="49" t="s">
        <v>3</v>
      </c>
      <c r="AW104" s="49"/>
      <c r="AX104" s="71"/>
      <c r="AY104" s="49" t="s">
        <v>3</v>
      </c>
      <c r="AZ104" s="49"/>
      <c r="BA104" s="71"/>
      <c r="BB104" s="70"/>
      <c r="BC104" s="49" t="s">
        <v>3</v>
      </c>
      <c r="BD104" s="71"/>
    </row>
    <row r="105" spans="3:56" ht="12" customHeight="1" x14ac:dyDescent="0.2"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P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</row>
    <row r="106" spans="3:56" ht="12" customHeight="1" x14ac:dyDescent="0.2">
      <c r="C106" s="132" t="s">
        <v>49</v>
      </c>
      <c r="D106" s="132"/>
      <c r="E106" s="132"/>
      <c r="F106" s="132"/>
      <c r="G106" s="132"/>
      <c r="H106" s="43"/>
      <c r="I106" s="43"/>
      <c r="J106" s="43"/>
      <c r="K106" s="43"/>
      <c r="L106" s="43"/>
      <c r="M106" s="43"/>
      <c r="N106" s="43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P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</row>
    <row r="107" spans="3:56" ht="12" customHeight="1" x14ac:dyDescent="0.2">
      <c r="C107" s="133"/>
      <c r="D107" s="133"/>
      <c r="E107" s="133"/>
      <c r="F107" s="133"/>
      <c r="G107" s="133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P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</row>
    <row r="108" spans="3:56" ht="12" customHeight="1" thickBot="1" x14ac:dyDescent="0.25">
      <c r="C108" s="61"/>
      <c r="D108" s="45" t="s">
        <v>0</v>
      </c>
      <c r="E108" s="45"/>
      <c r="F108" s="62"/>
      <c r="G108" s="45"/>
      <c r="H108" s="46" t="s">
        <v>0</v>
      </c>
      <c r="I108" s="46"/>
      <c r="J108" s="63"/>
      <c r="K108" s="46"/>
      <c r="L108" s="46" t="s">
        <v>0</v>
      </c>
      <c r="M108" s="46"/>
      <c r="N108" s="64"/>
      <c r="O108" s="45"/>
      <c r="P108" s="45"/>
      <c r="Q108" s="65"/>
      <c r="R108" s="46" t="s">
        <v>0</v>
      </c>
      <c r="S108" s="46"/>
      <c r="T108" s="63"/>
      <c r="U108" s="46"/>
      <c r="V108" s="46" t="s">
        <v>0</v>
      </c>
      <c r="W108" s="46"/>
      <c r="X108" s="63"/>
      <c r="Y108" s="46"/>
      <c r="Z108" s="46" t="s">
        <v>0</v>
      </c>
      <c r="AA108" s="46"/>
      <c r="AB108" s="64"/>
      <c r="AC108" s="45"/>
      <c r="AD108" s="45"/>
      <c r="AE108" s="65"/>
      <c r="AF108" s="46" t="s">
        <v>0</v>
      </c>
      <c r="AG108" s="46"/>
      <c r="AH108" s="63"/>
      <c r="AI108" s="46"/>
      <c r="AJ108" s="46" t="s">
        <v>0</v>
      </c>
      <c r="AK108" s="46"/>
      <c r="AL108" s="63"/>
      <c r="AM108" s="81"/>
      <c r="AN108" s="46" t="s">
        <v>0</v>
      </c>
      <c r="AP108" s="64"/>
      <c r="AS108" s="65"/>
      <c r="AT108" s="46" t="s">
        <v>0</v>
      </c>
      <c r="AU108" s="46"/>
      <c r="AV108" s="63"/>
      <c r="AW108" s="46"/>
      <c r="AX108" s="46" t="s">
        <v>0</v>
      </c>
      <c r="AY108" s="46"/>
      <c r="AZ108" s="63"/>
      <c r="BA108" s="81"/>
      <c r="BB108" s="46"/>
      <c r="BC108" s="46" t="s">
        <v>0</v>
      </c>
      <c r="BD108" s="64"/>
    </row>
    <row r="109" spans="3:56" ht="12" customHeight="1" x14ac:dyDescent="0.2">
      <c r="C109" s="61"/>
      <c r="D109" s="45" t="s">
        <v>1</v>
      </c>
      <c r="E109" s="45"/>
      <c r="F109" s="62"/>
      <c r="G109" s="47"/>
      <c r="H109" s="47" t="s">
        <v>1</v>
      </c>
      <c r="I109" s="47"/>
      <c r="J109" s="66"/>
      <c r="K109" s="45"/>
      <c r="L109" s="45" t="s">
        <v>1</v>
      </c>
      <c r="M109" s="45"/>
      <c r="N109" s="67"/>
      <c r="O109" s="45"/>
      <c r="P109" s="45"/>
      <c r="Q109" s="61"/>
      <c r="R109" s="45" t="s">
        <v>1</v>
      </c>
      <c r="S109" s="45"/>
      <c r="T109" s="62"/>
      <c r="U109" s="47"/>
      <c r="V109" s="47" t="s">
        <v>1</v>
      </c>
      <c r="W109" s="47"/>
      <c r="X109" s="66"/>
      <c r="Y109" s="45"/>
      <c r="Z109" s="45" t="s">
        <v>1</v>
      </c>
      <c r="AA109" s="45"/>
      <c r="AB109" s="67"/>
      <c r="AC109" s="45"/>
      <c r="AD109" s="45"/>
      <c r="AE109" s="61"/>
      <c r="AF109" s="45" t="s">
        <v>1</v>
      </c>
      <c r="AG109" s="45"/>
      <c r="AH109" s="62"/>
      <c r="AI109" s="47"/>
      <c r="AJ109" s="47" t="s">
        <v>1</v>
      </c>
      <c r="AK109" s="47"/>
      <c r="AL109" s="66"/>
      <c r="AM109" s="82"/>
      <c r="AN109" s="45" t="s">
        <v>1</v>
      </c>
      <c r="AP109" s="67"/>
      <c r="AS109" s="61"/>
      <c r="AT109" s="45" t="s">
        <v>1</v>
      </c>
      <c r="AU109" s="45"/>
      <c r="AV109" s="62"/>
      <c r="AW109" s="47"/>
      <c r="AX109" s="47" t="s">
        <v>1</v>
      </c>
      <c r="AY109" s="47"/>
      <c r="AZ109" s="66"/>
      <c r="BA109" s="82"/>
      <c r="BB109" s="45"/>
      <c r="BC109" s="45" t="s">
        <v>1</v>
      </c>
      <c r="BD109" s="67"/>
    </row>
    <row r="110" spans="3:56" ht="12" customHeight="1" x14ac:dyDescent="0.2">
      <c r="C110" s="61"/>
      <c r="D110" s="45" t="s">
        <v>2</v>
      </c>
      <c r="E110" s="45"/>
      <c r="F110" s="62"/>
      <c r="G110" s="45"/>
      <c r="H110" s="45" t="s">
        <v>2</v>
      </c>
      <c r="I110" s="45"/>
      <c r="J110" s="62"/>
      <c r="K110" s="45"/>
      <c r="L110" s="45" t="s">
        <v>2</v>
      </c>
      <c r="M110" s="45"/>
      <c r="N110" s="67"/>
      <c r="O110" s="45"/>
      <c r="P110" s="45"/>
      <c r="Q110" s="61"/>
      <c r="R110" s="45" t="s">
        <v>2</v>
      </c>
      <c r="S110" s="45"/>
      <c r="T110" s="62"/>
      <c r="U110" s="45"/>
      <c r="V110" s="45" t="s">
        <v>2</v>
      </c>
      <c r="W110" s="45"/>
      <c r="X110" s="62"/>
      <c r="Y110" s="45"/>
      <c r="Z110" s="45" t="s">
        <v>2</v>
      </c>
      <c r="AA110" s="45"/>
      <c r="AB110" s="67"/>
      <c r="AC110" s="45"/>
      <c r="AD110" s="45"/>
      <c r="AE110" s="61"/>
      <c r="AF110" s="45" t="s">
        <v>2</v>
      </c>
      <c r="AG110" s="45"/>
      <c r="AH110" s="62"/>
      <c r="AI110" s="45"/>
      <c r="AJ110" s="45" t="s">
        <v>2</v>
      </c>
      <c r="AK110" s="45"/>
      <c r="AL110" s="62"/>
      <c r="AM110" s="82"/>
      <c r="AN110" s="45" t="s">
        <v>2</v>
      </c>
      <c r="AP110" s="67"/>
      <c r="AS110" s="61"/>
      <c r="AT110" s="45" t="s">
        <v>2</v>
      </c>
      <c r="AU110" s="45"/>
      <c r="AV110" s="62"/>
      <c r="AW110" s="45"/>
      <c r="AX110" s="45" t="s">
        <v>2</v>
      </c>
      <c r="AY110" s="45"/>
      <c r="AZ110" s="62"/>
      <c r="BA110" s="82"/>
      <c r="BB110" s="45"/>
      <c r="BC110" s="45" t="s">
        <v>2</v>
      </c>
      <c r="BD110" s="67"/>
    </row>
    <row r="111" spans="3:56" ht="12" customHeight="1" thickBot="1" x14ac:dyDescent="0.25">
      <c r="C111" s="61"/>
      <c r="D111" s="45" t="s">
        <v>3</v>
      </c>
      <c r="E111" s="45"/>
      <c r="F111" s="68"/>
      <c r="G111" s="48"/>
      <c r="H111" s="48" t="s">
        <v>3</v>
      </c>
      <c r="I111" s="48"/>
      <c r="J111" s="69"/>
      <c r="K111" s="45"/>
      <c r="L111" s="45" t="s">
        <v>3</v>
      </c>
      <c r="M111" s="45"/>
      <c r="N111" s="67"/>
      <c r="O111" s="45"/>
      <c r="P111" s="45"/>
      <c r="Q111" s="61"/>
      <c r="R111" s="45" t="s">
        <v>3</v>
      </c>
      <c r="S111" s="45"/>
      <c r="T111" s="68"/>
      <c r="U111" s="48"/>
      <c r="V111" s="48" t="s">
        <v>3</v>
      </c>
      <c r="W111" s="48"/>
      <c r="X111" s="69"/>
      <c r="Y111" s="45"/>
      <c r="Z111" s="45" t="s">
        <v>3</v>
      </c>
      <c r="AA111" s="45"/>
      <c r="AB111" s="67"/>
      <c r="AC111" s="45"/>
      <c r="AD111" s="45"/>
      <c r="AE111" s="61"/>
      <c r="AF111" s="45" t="s">
        <v>3</v>
      </c>
      <c r="AG111" s="45"/>
      <c r="AH111" s="68"/>
      <c r="AI111" s="48"/>
      <c r="AJ111" s="48" t="s">
        <v>3</v>
      </c>
      <c r="AK111" s="48"/>
      <c r="AL111" s="69"/>
      <c r="AM111" s="45"/>
      <c r="AN111" s="45" t="s">
        <v>3</v>
      </c>
      <c r="AP111" s="67"/>
      <c r="AS111" s="61"/>
      <c r="AT111" s="45" t="s">
        <v>3</v>
      </c>
      <c r="AU111" s="45"/>
      <c r="AV111" s="68"/>
      <c r="AW111" s="48"/>
      <c r="AX111" s="48" t="s">
        <v>3</v>
      </c>
      <c r="AY111" s="48"/>
      <c r="AZ111" s="69"/>
      <c r="BA111" s="83"/>
      <c r="BB111" s="45"/>
      <c r="BC111" s="45" t="s">
        <v>3</v>
      </c>
      <c r="BD111" s="67"/>
    </row>
    <row r="112" spans="3:56" ht="12" customHeight="1" x14ac:dyDescent="0.2">
      <c r="C112" s="65"/>
      <c r="D112" s="46" t="s">
        <v>0</v>
      </c>
      <c r="E112" s="46"/>
      <c r="F112" s="67"/>
      <c r="G112" s="45"/>
      <c r="H112" s="40" t="s">
        <v>0</v>
      </c>
      <c r="I112" s="45"/>
      <c r="J112" s="62"/>
      <c r="K112" s="46"/>
      <c r="L112" s="46" t="s">
        <v>0</v>
      </c>
      <c r="M112" s="46"/>
      <c r="N112" s="64"/>
      <c r="O112" s="45"/>
      <c r="P112" s="45"/>
      <c r="Q112" s="65"/>
      <c r="R112" s="46" t="s">
        <v>0</v>
      </c>
      <c r="S112" s="46"/>
      <c r="T112" s="67"/>
      <c r="U112" s="45"/>
      <c r="V112" s="40" t="s">
        <v>0</v>
      </c>
      <c r="W112" s="45"/>
      <c r="X112" s="62"/>
      <c r="Y112" s="46"/>
      <c r="Z112" s="46" t="s">
        <v>0</v>
      </c>
      <c r="AA112" s="46"/>
      <c r="AB112" s="64"/>
      <c r="AC112" s="45"/>
      <c r="AD112" s="45"/>
      <c r="AE112" s="65"/>
      <c r="AF112" s="46" t="s">
        <v>0</v>
      </c>
      <c r="AG112" s="46"/>
      <c r="AH112" s="67"/>
      <c r="AI112" s="45"/>
      <c r="AJ112" s="40" t="s">
        <v>0</v>
      </c>
      <c r="AK112" s="45"/>
      <c r="AL112" s="62"/>
      <c r="AM112" s="46"/>
      <c r="AN112" s="46" t="s">
        <v>0</v>
      </c>
      <c r="AP112" s="64"/>
      <c r="AS112" s="65"/>
      <c r="AT112" s="46" t="s">
        <v>0</v>
      </c>
      <c r="AU112" s="46"/>
      <c r="AV112" s="67"/>
      <c r="AW112" s="45"/>
      <c r="AX112" s="40" t="s">
        <v>0</v>
      </c>
      <c r="AY112" s="45"/>
      <c r="AZ112" s="62"/>
      <c r="BA112" s="46"/>
      <c r="BB112" s="46"/>
      <c r="BC112" s="46" t="s">
        <v>0</v>
      </c>
      <c r="BD112" s="64"/>
    </row>
    <row r="113" spans="3:56" ht="12" customHeight="1" x14ac:dyDescent="0.2">
      <c r="C113" s="61"/>
      <c r="D113" s="45" t="s">
        <v>1</v>
      </c>
      <c r="E113" s="45"/>
      <c r="F113" s="67"/>
      <c r="G113" s="45"/>
      <c r="H113" s="38" t="s">
        <v>1</v>
      </c>
      <c r="I113" s="45"/>
      <c r="J113" s="67"/>
      <c r="K113" s="45"/>
      <c r="L113" s="45" t="s">
        <v>1</v>
      </c>
      <c r="M113" s="45"/>
      <c r="N113" s="67"/>
      <c r="O113" s="45"/>
      <c r="P113" s="45"/>
      <c r="Q113" s="61"/>
      <c r="R113" s="45" t="s">
        <v>1</v>
      </c>
      <c r="S113" s="45"/>
      <c r="T113" s="67"/>
      <c r="U113" s="45"/>
      <c r="V113" s="38" t="s">
        <v>1</v>
      </c>
      <c r="W113" s="45"/>
      <c r="X113" s="67"/>
      <c r="Y113" s="45"/>
      <c r="Z113" s="45" t="s">
        <v>1</v>
      </c>
      <c r="AA113" s="45"/>
      <c r="AB113" s="67"/>
      <c r="AC113" s="45"/>
      <c r="AD113" s="45"/>
      <c r="AE113" s="61"/>
      <c r="AF113" s="45" t="s">
        <v>1</v>
      </c>
      <c r="AG113" s="45"/>
      <c r="AH113" s="67"/>
      <c r="AI113" s="45"/>
      <c r="AJ113" s="38" t="s">
        <v>1</v>
      </c>
      <c r="AK113" s="45"/>
      <c r="AL113" s="67"/>
      <c r="AM113" s="45"/>
      <c r="AN113" s="45" t="s">
        <v>1</v>
      </c>
      <c r="AP113" s="67"/>
      <c r="AS113" s="61"/>
      <c r="AT113" s="45" t="s">
        <v>1</v>
      </c>
      <c r="AU113" s="45"/>
      <c r="AV113" s="67"/>
      <c r="AW113" s="45"/>
      <c r="AX113" s="38" t="s">
        <v>1</v>
      </c>
      <c r="AY113" s="45"/>
      <c r="AZ113" s="67"/>
      <c r="BA113" s="45"/>
      <c r="BB113" s="45"/>
      <c r="BC113" s="45" t="s">
        <v>1</v>
      </c>
      <c r="BD113" s="67"/>
    </row>
    <row r="114" spans="3:56" ht="12" customHeight="1" x14ac:dyDescent="0.2">
      <c r="C114" s="61"/>
      <c r="D114" s="45" t="s">
        <v>2</v>
      </c>
      <c r="E114" s="45"/>
      <c r="F114" s="67"/>
      <c r="G114" s="45"/>
      <c r="H114" s="38" t="s">
        <v>2</v>
      </c>
      <c r="I114" s="45"/>
      <c r="J114" s="67"/>
      <c r="K114" s="45"/>
      <c r="L114" s="45" t="s">
        <v>2</v>
      </c>
      <c r="M114" s="45"/>
      <c r="N114" s="67"/>
      <c r="O114" s="45"/>
      <c r="P114" s="45"/>
      <c r="Q114" s="61"/>
      <c r="R114" s="45" t="s">
        <v>2</v>
      </c>
      <c r="S114" s="45"/>
      <c r="T114" s="67"/>
      <c r="U114" s="45"/>
      <c r="V114" s="38" t="s">
        <v>2</v>
      </c>
      <c r="W114" s="45"/>
      <c r="X114" s="67"/>
      <c r="Y114" s="45"/>
      <c r="Z114" s="45" t="s">
        <v>2</v>
      </c>
      <c r="AA114" s="45"/>
      <c r="AB114" s="67"/>
      <c r="AC114" s="45"/>
      <c r="AD114" s="45"/>
      <c r="AE114" s="61"/>
      <c r="AF114" s="45" t="s">
        <v>2</v>
      </c>
      <c r="AG114" s="45"/>
      <c r="AH114" s="67"/>
      <c r="AI114" s="45"/>
      <c r="AJ114" s="38" t="s">
        <v>2</v>
      </c>
      <c r="AK114" s="45"/>
      <c r="AL114" s="67"/>
      <c r="AM114" s="45"/>
      <c r="AN114" s="45" t="s">
        <v>2</v>
      </c>
      <c r="AP114" s="67"/>
      <c r="AS114" s="61"/>
      <c r="AT114" s="45" t="s">
        <v>2</v>
      </c>
      <c r="AU114" s="45"/>
      <c r="AV114" s="67"/>
      <c r="AW114" s="45"/>
      <c r="AX114" s="38" t="s">
        <v>2</v>
      </c>
      <c r="AY114" s="45"/>
      <c r="AZ114" s="67"/>
      <c r="BA114" s="45"/>
      <c r="BB114" s="45"/>
      <c r="BC114" s="45" t="s">
        <v>2</v>
      </c>
      <c r="BD114" s="67"/>
    </row>
    <row r="115" spans="3:56" ht="12" customHeight="1" x14ac:dyDescent="0.2">
      <c r="C115" s="70"/>
      <c r="D115" s="49" t="s">
        <v>3</v>
      </c>
      <c r="E115" s="49"/>
      <c r="F115" s="71"/>
      <c r="G115" s="49"/>
      <c r="H115" s="39" t="s">
        <v>3</v>
      </c>
      <c r="I115" s="49"/>
      <c r="J115" s="71"/>
      <c r="K115" s="49"/>
      <c r="L115" s="49" t="s">
        <v>3</v>
      </c>
      <c r="M115" s="49"/>
      <c r="N115" s="71"/>
      <c r="O115" s="45"/>
      <c r="P115" s="45"/>
      <c r="Q115" s="70"/>
      <c r="R115" s="49" t="s">
        <v>3</v>
      </c>
      <c r="S115" s="49"/>
      <c r="T115" s="71"/>
      <c r="U115" s="49"/>
      <c r="V115" s="39" t="s">
        <v>3</v>
      </c>
      <c r="W115" s="49"/>
      <c r="X115" s="71"/>
      <c r="Y115" s="49"/>
      <c r="Z115" s="49" t="s">
        <v>3</v>
      </c>
      <c r="AA115" s="49"/>
      <c r="AB115" s="71"/>
      <c r="AC115" s="45"/>
      <c r="AD115" s="45"/>
      <c r="AE115" s="70"/>
      <c r="AF115" s="49" t="s">
        <v>3</v>
      </c>
      <c r="AG115" s="49"/>
      <c r="AH115" s="71"/>
      <c r="AI115" s="49"/>
      <c r="AJ115" s="39" t="s">
        <v>3</v>
      </c>
      <c r="AK115" s="49"/>
      <c r="AL115" s="71"/>
      <c r="AM115" s="49"/>
      <c r="AN115" s="49" t="s">
        <v>3</v>
      </c>
      <c r="AP115" s="71"/>
      <c r="AS115" s="70"/>
      <c r="AT115" s="49" t="s">
        <v>3</v>
      </c>
      <c r="AU115" s="49"/>
      <c r="AV115" s="71"/>
      <c r="AW115" s="49"/>
      <c r="AX115" s="39" t="s">
        <v>3</v>
      </c>
      <c r="AY115" s="49"/>
      <c r="AZ115" s="71"/>
      <c r="BA115" s="49"/>
      <c r="BB115" s="49"/>
      <c r="BC115" s="49" t="s">
        <v>3</v>
      </c>
      <c r="BD115" s="71"/>
    </row>
    <row r="116" spans="3:56" ht="12" customHeight="1" x14ac:dyDescent="0.2">
      <c r="C116" s="61"/>
      <c r="D116" s="45" t="s">
        <v>0</v>
      </c>
      <c r="E116" s="67"/>
      <c r="F116" s="45" t="s">
        <v>0</v>
      </c>
      <c r="G116" s="45"/>
      <c r="H116" s="67"/>
      <c r="I116" s="45" t="s">
        <v>0</v>
      </c>
      <c r="J116" s="45"/>
      <c r="K116" s="67"/>
      <c r="L116" s="45" t="s">
        <v>0</v>
      </c>
      <c r="M116" s="45"/>
      <c r="N116" s="67"/>
      <c r="O116" s="45"/>
      <c r="P116" s="45"/>
      <c r="Q116" s="61"/>
      <c r="R116" s="45" t="s">
        <v>0</v>
      </c>
      <c r="S116" s="67"/>
      <c r="T116" s="45" t="s">
        <v>0</v>
      </c>
      <c r="U116" s="45"/>
      <c r="V116" s="67"/>
      <c r="W116" s="45" t="s">
        <v>0</v>
      </c>
      <c r="X116" s="45"/>
      <c r="Y116" s="67"/>
      <c r="Z116" s="45" t="s">
        <v>0</v>
      </c>
      <c r="AA116" s="45"/>
      <c r="AB116" s="67"/>
      <c r="AC116" s="45"/>
      <c r="AD116" s="45"/>
      <c r="AE116" s="61"/>
      <c r="AF116" s="45" t="s">
        <v>0</v>
      </c>
      <c r="AG116" s="67"/>
      <c r="AH116" s="45" t="s">
        <v>0</v>
      </c>
      <c r="AI116" s="45"/>
      <c r="AJ116" s="67"/>
      <c r="AK116" s="45" t="s">
        <v>0</v>
      </c>
      <c r="AL116" s="45"/>
      <c r="AM116" s="67"/>
      <c r="AN116" s="45" t="s">
        <v>0</v>
      </c>
      <c r="AP116" s="67"/>
      <c r="AS116" s="61"/>
      <c r="AT116" s="45" t="s">
        <v>0</v>
      </c>
      <c r="AU116" s="67"/>
      <c r="AV116" s="45" t="s">
        <v>0</v>
      </c>
      <c r="AW116" s="45"/>
      <c r="AX116" s="67"/>
      <c r="AY116" s="45" t="s">
        <v>0</v>
      </c>
      <c r="AZ116" s="45"/>
      <c r="BA116" s="67"/>
      <c r="BB116" s="61"/>
      <c r="BC116" s="45" t="s">
        <v>0</v>
      </c>
      <c r="BD116" s="67"/>
    </row>
    <row r="117" spans="3:56" ht="12" customHeight="1" x14ac:dyDescent="0.2">
      <c r="C117" s="61"/>
      <c r="D117" s="45" t="s">
        <v>1</v>
      </c>
      <c r="E117" s="67"/>
      <c r="F117" s="45" t="s">
        <v>1</v>
      </c>
      <c r="G117" s="45"/>
      <c r="H117" s="67"/>
      <c r="I117" s="45" t="s">
        <v>1</v>
      </c>
      <c r="J117" s="45"/>
      <c r="K117" s="67"/>
      <c r="L117" s="45" t="s">
        <v>1</v>
      </c>
      <c r="M117" s="45"/>
      <c r="N117" s="67"/>
      <c r="O117" s="45"/>
      <c r="P117" s="45"/>
      <c r="Q117" s="61"/>
      <c r="R117" s="45" t="s">
        <v>1</v>
      </c>
      <c r="S117" s="67"/>
      <c r="T117" s="45" t="s">
        <v>1</v>
      </c>
      <c r="U117" s="45"/>
      <c r="V117" s="67"/>
      <c r="W117" s="45" t="s">
        <v>1</v>
      </c>
      <c r="X117" s="45"/>
      <c r="Y117" s="67"/>
      <c r="Z117" s="45" t="s">
        <v>1</v>
      </c>
      <c r="AA117" s="45"/>
      <c r="AB117" s="67"/>
      <c r="AC117" s="45"/>
      <c r="AD117" s="45"/>
      <c r="AE117" s="61"/>
      <c r="AF117" s="45" t="s">
        <v>1</v>
      </c>
      <c r="AG117" s="67"/>
      <c r="AH117" s="45" t="s">
        <v>1</v>
      </c>
      <c r="AI117" s="45"/>
      <c r="AJ117" s="67"/>
      <c r="AK117" s="45" t="s">
        <v>1</v>
      </c>
      <c r="AL117" s="45"/>
      <c r="AM117" s="67"/>
      <c r="AN117" s="45" t="s">
        <v>1</v>
      </c>
      <c r="AP117" s="67"/>
      <c r="AS117" s="61"/>
      <c r="AT117" s="45" t="s">
        <v>1</v>
      </c>
      <c r="AU117" s="67"/>
      <c r="AV117" s="45" t="s">
        <v>1</v>
      </c>
      <c r="AW117" s="45"/>
      <c r="AX117" s="67"/>
      <c r="AY117" s="45" t="s">
        <v>1</v>
      </c>
      <c r="AZ117" s="45"/>
      <c r="BA117" s="67"/>
      <c r="BB117" s="61"/>
      <c r="BC117" s="45" t="s">
        <v>1</v>
      </c>
      <c r="BD117" s="67"/>
    </row>
    <row r="118" spans="3:56" ht="12" customHeight="1" x14ac:dyDescent="0.2">
      <c r="C118" s="61"/>
      <c r="D118" s="45" t="s">
        <v>2</v>
      </c>
      <c r="E118" s="67"/>
      <c r="F118" s="45" t="s">
        <v>2</v>
      </c>
      <c r="G118" s="45"/>
      <c r="H118" s="67"/>
      <c r="I118" s="45" t="s">
        <v>2</v>
      </c>
      <c r="J118" s="45"/>
      <c r="K118" s="67"/>
      <c r="L118" s="45" t="s">
        <v>2</v>
      </c>
      <c r="M118" s="45"/>
      <c r="N118" s="67"/>
      <c r="O118" s="45"/>
      <c r="P118" s="45"/>
      <c r="Q118" s="61"/>
      <c r="R118" s="45" t="s">
        <v>2</v>
      </c>
      <c r="S118" s="67"/>
      <c r="T118" s="45" t="s">
        <v>2</v>
      </c>
      <c r="U118" s="45"/>
      <c r="V118" s="67"/>
      <c r="W118" s="45" t="s">
        <v>2</v>
      </c>
      <c r="X118" s="45"/>
      <c r="Y118" s="67"/>
      <c r="Z118" s="45" t="s">
        <v>2</v>
      </c>
      <c r="AA118" s="45"/>
      <c r="AB118" s="67"/>
      <c r="AC118" s="45"/>
      <c r="AD118" s="45"/>
      <c r="AE118" s="61"/>
      <c r="AF118" s="45" t="s">
        <v>2</v>
      </c>
      <c r="AG118" s="67"/>
      <c r="AH118" s="45" t="s">
        <v>2</v>
      </c>
      <c r="AI118" s="45"/>
      <c r="AJ118" s="67"/>
      <c r="AK118" s="45" t="s">
        <v>2</v>
      </c>
      <c r="AL118" s="45"/>
      <c r="AM118" s="67"/>
      <c r="AN118" s="45" t="s">
        <v>2</v>
      </c>
      <c r="AP118" s="67"/>
      <c r="AS118" s="61"/>
      <c r="AT118" s="45" t="s">
        <v>2</v>
      </c>
      <c r="AU118" s="67"/>
      <c r="AV118" s="45" t="s">
        <v>2</v>
      </c>
      <c r="AW118" s="45"/>
      <c r="AX118" s="67"/>
      <c r="AY118" s="45" t="s">
        <v>2</v>
      </c>
      <c r="AZ118" s="45"/>
      <c r="BA118" s="67"/>
      <c r="BB118" s="61"/>
      <c r="BC118" s="45" t="s">
        <v>2</v>
      </c>
      <c r="BD118" s="67"/>
    </row>
    <row r="119" spans="3:56" ht="12" customHeight="1" x14ac:dyDescent="0.2">
      <c r="C119" s="70"/>
      <c r="D119" s="49" t="s">
        <v>3</v>
      </c>
      <c r="E119" s="71"/>
      <c r="F119" s="49" t="s">
        <v>3</v>
      </c>
      <c r="G119" s="49"/>
      <c r="H119" s="71"/>
      <c r="I119" s="49" t="s">
        <v>3</v>
      </c>
      <c r="J119" s="49"/>
      <c r="K119" s="71"/>
      <c r="L119" s="49" t="s">
        <v>3</v>
      </c>
      <c r="M119" s="49"/>
      <c r="N119" s="71"/>
      <c r="O119" s="45"/>
      <c r="P119" s="45"/>
      <c r="Q119" s="70"/>
      <c r="R119" s="49" t="s">
        <v>3</v>
      </c>
      <c r="S119" s="71"/>
      <c r="T119" s="49" t="s">
        <v>3</v>
      </c>
      <c r="U119" s="49"/>
      <c r="V119" s="71"/>
      <c r="W119" s="49" t="s">
        <v>3</v>
      </c>
      <c r="X119" s="49"/>
      <c r="Y119" s="71"/>
      <c r="Z119" s="49" t="s">
        <v>3</v>
      </c>
      <c r="AA119" s="49"/>
      <c r="AB119" s="71"/>
      <c r="AC119" s="45"/>
      <c r="AD119" s="45"/>
      <c r="AE119" s="70"/>
      <c r="AF119" s="49" t="s">
        <v>3</v>
      </c>
      <c r="AG119" s="71"/>
      <c r="AH119" s="49" t="s">
        <v>3</v>
      </c>
      <c r="AI119" s="49"/>
      <c r="AJ119" s="71"/>
      <c r="AK119" s="49" t="s">
        <v>3</v>
      </c>
      <c r="AL119" s="49"/>
      <c r="AM119" s="71"/>
      <c r="AN119" s="49" t="s">
        <v>3</v>
      </c>
      <c r="AP119" s="71"/>
      <c r="AS119" s="70"/>
      <c r="AT119" s="49" t="s">
        <v>3</v>
      </c>
      <c r="AU119" s="71"/>
      <c r="AV119" s="49" t="s">
        <v>3</v>
      </c>
      <c r="AW119" s="49"/>
      <c r="AX119" s="71"/>
      <c r="AY119" s="49" t="s">
        <v>3</v>
      </c>
      <c r="AZ119" s="49"/>
      <c r="BA119" s="71"/>
      <c r="BB119" s="70"/>
      <c r="BC119" s="49" t="s">
        <v>3</v>
      </c>
      <c r="BD119" s="71"/>
    </row>
    <row r="120" spans="3:56" ht="12" customHeight="1" x14ac:dyDescent="0.2"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P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</row>
    <row r="121" spans="3:56" ht="12" customHeight="1" x14ac:dyDescent="0.2">
      <c r="C121" s="132" t="s">
        <v>133</v>
      </c>
      <c r="D121" s="132"/>
      <c r="E121" s="132"/>
      <c r="F121" s="132"/>
      <c r="G121" s="132"/>
      <c r="H121" s="43"/>
      <c r="I121" s="43"/>
      <c r="J121" s="43"/>
      <c r="K121" s="43"/>
      <c r="L121" s="43"/>
      <c r="M121" s="43"/>
      <c r="N121" s="43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P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</row>
    <row r="122" spans="3:56" ht="12" customHeight="1" x14ac:dyDescent="0.2">
      <c r="C122" s="133"/>
      <c r="D122" s="133"/>
      <c r="E122" s="133"/>
      <c r="F122" s="133"/>
      <c r="G122" s="133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P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</row>
    <row r="123" spans="3:56" ht="12" customHeight="1" thickBot="1" x14ac:dyDescent="0.25">
      <c r="C123" s="61"/>
      <c r="D123" s="45" t="s">
        <v>0</v>
      </c>
      <c r="E123" s="45"/>
      <c r="F123" s="62"/>
      <c r="G123" s="45"/>
      <c r="H123" s="46" t="s">
        <v>0</v>
      </c>
      <c r="I123" s="44"/>
      <c r="J123" s="63"/>
      <c r="K123" s="46"/>
      <c r="L123" s="46" t="s">
        <v>0</v>
      </c>
      <c r="M123" s="46"/>
      <c r="N123" s="64"/>
      <c r="O123" s="45"/>
      <c r="P123" s="45"/>
      <c r="Q123" s="65"/>
      <c r="R123" s="46" t="s">
        <v>0</v>
      </c>
      <c r="S123" s="46"/>
      <c r="T123" s="63"/>
      <c r="U123" s="46"/>
      <c r="V123" s="46" t="s">
        <v>0</v>
      </c>
      <c r="W123" s="46"/>
      <c r="X123" s="63"/>
      <c r="Y123" s="46"/>
      <c r="Z123" s="46" t="s">
        <v>0</v>
      </c>
      <c r="AA123" s="46"/>
      <c r="AB123" s="64"/>
      <c r="AC123" s="45"/>
      <c r="AD123" s="45"/>
      <c r="AE123" s="65"/>
      <c r="AF123" s="46" t="s">
        <v>0</v>
      </c>
      <c r="AG123" s="46"/>
      <c r="AH123" s="63"/>
      <c r="AI123" s="46"/>
      <c r="AJ123" s="46" t="s">
        <v>0</v>
      </c>
      <c r="AK123" s="46"/>
      <c r="AL123" s="63"/>
      <c r="AM123" s="81"/>
      <c r="AN123" s="46" t="s">
        <v>0</v>
      </c>
      <c r="AP123" s="64"/>
      <c r="AS123" s="65"/>
      <c r="AT123" s="46" t="s">
        <v>0</v>
      </c>
      <c r="AU123" s="46"/>
      <c r="AV123" s="63"/>
      <c r="AW123" s="46"/>
      <c r="AX123" s="46" t="s">
        <v>0</v>
      </c>
      <c r="AY123" s="46"/>
      <c r="AZ123" s="63"/>
      <c r="BA123" s="81"/>
      <c r="BB123" s="46" t="s">
        <v>0</v>
      </c>
      <c r="BD123" s="64"/>
    </row>
    <row r="124" spans="3:56" ht="12" customHeight="1" thickBot="1" x14ac:dyDescent="0.25">
      <c r="C124" s="61"/>
      <c r="D124" s="45" t="s">
        <v>1</v>
      </c>
      <c r="E124" s="45"/>
      <c r="F124" s="62"/>
      <c r="G124" s="47"/>
      <c r="H124" s="47" t="s">
        <v>1</v>
      </c>
      <c r="I124" s="46"/>
      <c r="J124" s="66"/>
      <c r="K124" s="45"/>
      <c r="L124" s="45" t="s">
        <v>1</v>
      </c>
      <c r="M124" s="45"/>
      <c r="N124" s="67"/>
      <c r="O124" s="45"/>
      <c r="P124" s="45"/>
      <c r="Q124" s="61"/>
      <c r="R124" s="45" t="s">
        <v>1</v>
      </c>
      <c r="S124" s="45"/>
      <c r="T124" s="62"/>
      <c r="U124" s="47"/>
      <c r="V124" s="47" t="s">
        <v>1</v>
      </c>
      <c r="W124" s="47"/>
      <c r="X124" s="66"/>
      <c r="Y124" s="45"/>
      <c r="Z124" s="45" t="s">
        <v>1</v>
      </c>
      <c r="AA124" s="45"/>
      <c r="AB124" s="67"/>
      <c r="AC124" s="45"/>
      <c r="AD124" s="45"/>
      <c r="AE124" s="61"/>
      <c r="AF124" s="45" t="s">
        <v>1</v>
      </c>
      <c r="AG124" s="45"/>
      <c r="AH124" s="62"/>
      <c r="AI124" s="47"/>
      <c r="AJ124" s="47" t="s">
        <v>1</v>
      </c>
      <c r="AK124" s="47"/>
      <c r="AL124" s="66"/>
      <c r="AM124" s="82"/>
      <c r="AN124" s="45" t="s">
        <v>1</v>
      </c>
      <c r="AP124" s="67"/>
      <c r="AS124" s="61"/>
      <c r="AT124" s="45" t="s">
        <v>1</v>
      </c>
      <c r="AU124" s="45"/>
      <c r="AV124" s="62"/>
      <c r="AW124" s="47"/>
      <c r="AX124" s="47" t="s">
        <v>1</v>
      </c>
      <c r="AY124" s="47"/>
      <c r="AZ124" s="66"/>
      <c r="BA124" s="82"/>
      <c r="BB124" s="45" t="s">
        <v>1</v>
      </c>
      <c r="BD124" s="67"/>
    </row>
    <row r="125" spans="3:56" ht="12" customHeight="1" x14ac:dyDescent="0.2">
      <c r="C125" s="61"/>
      <c r="D125" s="45" t="s">
        <v>2</v>
      </c>
      <c r="E125" s="45"/>
      <c r="F125" s="62"/>
      <c r="G125" s="45"/>
      <c r="H125" s="45" t="s">
        <v>2</v>
      </c>
      <c r="I125" s="47"/>
      <c r="J125" s="62"/>
      <c r="K125" s="45"/>
      <c r="L125" s="45" t="s">
        <v>2</v>
      </c>
      <c r="M125" s="45"/>
      <c r="N125" s="67"/>
      <c r="O125" s="45"/>
      <c r="P125" s="45"/>
      <c r="Q125" s="61"/>
      <c r="R125" s="45" t="s">
        <v>2</v>
      </c>
      <c r="S125" s="45"/>
      <c r="T125" s="62"/>
      <c r="U125" s="45"/>
      <c r="V125" s="45" t="s">
        <v>2</v>
      </c>
      <c r="W125" s="45"/>
      <c r="X125" s="62"/>
      <c r="Y125" s="45"/>
      <c r="Z125" s="45" t="s">
        <v>2</v>
      </c>
      <c r="AA125" s="45"/>
      <c r="AB125" s="67"/>
      <c r="AC125" s="45"/>
      <c r="AD125" s="45"/>
      <c r="AE125" s="61"/>
      <c r="AF125" s="45" t="s">
        <v>2</v>
      </c>
      <c r="AG125" s="45"/>
      <c r="AH125" s="62"/>
      <c r="AI125" s="45"/>
      <c r="AJ125" s="45" t="s">
        <v>2</v>
      </c>
      <c r="AK125" s="45"/>
      <c r="AL125" s="62"/>
      <c r="AM125" s="82"/>
      <c r="AN125" s="45" t="s">
        <v>2</v>
      </c>
      <c r="AP125" s="67"/>
      <c r="AS125" s="61"/>
      <c r="AT125" s="45" t="s">
        <v>2</v>
      </c>
      <c r="AU125" s="45"/>
      <c r="AV125" s="62"/>
      <c r="AW125" s="45"/>
      <c r="AX125" s="45" t="s">
        <v>2</v>
      </c>
      <c r="AY125" s="45"/>
      <c r="AZ125" s="62"/>
      <c r="BA125" s="82"/>
      <c r="BB125" s="45" t="s">
        <v>2</v>
      </c>
      <c r="BD125" s="67"/>
    </row>
    <row r="126" spans="3:56" ht="12" customHeight="1" thickBot="1" x14ac:dyDescent="0.25">
      <c r="C126" s="61"/>
      <c r="D126" s="45" t="s">
        <v>3</v>
      </c>
      <c r="E126" s="45"/>
      <c r="F126" s="68"/>
      <c r="G126" s="48"/>
      <c r="H126" s="48" t="s">
        <v>3</v>
      </c>
      <c r="I126" s="45"/>
      <c r="J126" s="69"/>
      <c r="K126" s="45"/>
      <c r="L126" s="45" t="s">
        <v>3</v>
      </c>
      <c r="M126" s="45"/>
      <c r="N126" s="67"/>
      <c r="O126" s="45"/>
      <c r="P126" s="45"/>
      <c r="Q126" s="61"/>
      <c r="R126" s="45" t="s">
        <v>3</v>
      </c>
      <c r="S126" s="45"/>
      <c r="T126" s="68"/>
      <c r="U126" s="48"/>
      <c r="V126" s="48" t="s">
        <v>3</v>
      </c>
      <c r="W126" s="48"/>
      <c r="X126" s="69"/>
      <c r="Y126" s="45"/>
      <c r="Z126" s="45" t="s">
        <v>3</v>
      </c>
      <c r="AA126" s="45"/>
      <c r="AB126" s="67"/>
      <c r="AC126" s="45"/>
      <c r="AD126" s="45"/>
      <c r="AE126" s="61"/>
      <c r="AF126" s="45" t="s">
        <v>3</v>
      </c>
      <c r="AG126" s="45"/>
      <c r="AH126" s="68"/>
      <c r="AI126" s="48"/>
      <c r="AJ126" s="48" t="s">
        <v>3</v>
      </c>
      <c r="AK126" s="48"/>
      <c r="AL126" s="69"/>
      <c r="AM126" s="83"/>
      <c r="AN126" s="45" t="s">
        <v>3</v>
      </c>
      <c r="AP126" s="67"/>
      <c r="AS126" s="61"/>
      <c r="AT126" s="45" t="s">
        <v>3</v>
      </c>
      <c r="AU126" s="45"/>
      <c r="AV126" s="68"/>
      <c r="AW126" s="48"/>
      <c r="AX126" s="48" t="s">
        <v>3</v>
      </c>
      <c r="AY126" s="48"/>
      <c r="AZ126" s="69"/>
      <c r="BA126" s="83"/>
      <c r="BB126" s="45" t="s">
        <v>3</v>
      </c>
      <c r="BD126" s="67"/>
    </row>
    <row r="127" spans="3:56" ht="12" customHeight="1" thickBot="1" x14ac:dyDescent="0.25">
      <c r="C127" s="65"/>
      <c r="D127" s="46" t="s">
        <v>0</v>
      </c>
      <c r="E127" s="46"/>
      <c r="F127" s="67"/>
      <c r="G127" s="45"/>
      <c r="H127" s="40" t="s">
        <v>0</v>
      </c>
      <c r="I127" s="48"/>
      <c r="J127" s="62"/>
      <c r="K127" s="46"/>
      <c r="L127" s="46" t="s">
        <v>0</v>
      </c>
      <c r="M127" s="46"/>
      <c r="N127" s="64"/>
      <c r="O127" s="45"/>
      <c r="P127" s="45"/>
      <c r="Q127" s="65"/>
      <c r="R127" s="46" t="s">
        <v>0</v>
      </c>
      <c r="S127" s="46"/>
      <c r="T127" s="67"/>
      <c r="U127" s="45"/>
      <c r="V127" s="40" t="s">
        <v>0</v>
      </c>
      <c r="W127" s="45"/>
      <c r="X127" s="62"/>
      <c r="Y127" s="46"/>
      <c r="Z127" s="46" t="s">
        <v>0</v>
      </c>
      <c r="AA127" s="46"/>
      <c r="AB127" s="64"/>
      <c r="AC127" s="45"/>
      <c r="AD127" s="45"/>
      <c r="AE127" s="65"/>
      <c r="AF127" s="46" t="s">
        <v>0</v>
      </c>
      <c r="AG127" s="46"/>
      <c r="AH127" s="67"/>
      <c r="AI127" s="45"/>
      <c r="AJ127" s="40" t="s">
        <v>0</v>
      </c>
      <c r="AK127" s="45"/>
      <c r="AL127" s="62"/>
      <c r="AM127" s="46"/>
      <c r="AN127" s="46" t="s">
        <v>0</v>
      </c>
      <c r="AP127" s="64"/>
      <c r="AS127" s="65"/>
      <c r="AT127" s="46" t="s">
        <v>0</v>
      </c>
      <c r="AU127" s="46"/>
      <c r="AV127" s="67"/>
      <c r="AW127" s="45"/>
      <c r="AX127" s="40" t="s">
        <v>0</v>
      </c>
      <c r="AY127" s="45"/>
      <c r="AZ127" s="62"/>
      <c r="BA127" s="46"/>
      <c r="BB127" s="46" t="s">
        <v>0</v>
      </c>
      <c r="BD127" s="64"/>
    </row>
    <row r="128" spans="3:56" ht="12" customHeight="1" x14ac:dyDescent="0.2">
      <c r="C128" s="61"/>
      <c r="D128" s="45" t="s">
        <v>1</v>
      </c>
      <c r="E128" s="45"/>
      <c r="F128" s="67"/>
      <c r="G128" s="45"/>
      <c r="H128" s="38" t="s">
        <v>1</v>
      </c>
      <c r="I128" s="45"/>
      <c r="J128" s="67"/>
      <c r="K128" s="45"/>
      <c r="L128" s="45" t="s">
        <v>1</v>
      </c>
      <c r="M128" s="45"/>
      <c r="N128" s="67"/>
      <c r="O128" s="45"/>
      <c r="P128" s="45"/>
      <c r="Q128" s="61"/>
      <c r="R128" s="45" t="s">
        <v>1</v>
      </c>
      <c r="S128" s="45"/>
      <c r="T128" s="67"/>
      <c r="U128" s="45"/>
      <c r="V128" s="38" t="s">
        <v>1</v>
      </c>
      <c r="W128" s="45"/>
      <c r="X128" s="67"/>
      <c r="Y128" s="45"/>
      <c r="Z128" s="45" t="s">
        <v>1</v>
      </c>
      <c r="AA128" s="45"/>
      <c r="AB128" s="67"/>
      <c r="AC128" s="45"/>
      <c r="AD128" s="45"/>
      <c r="AE128" s="61"/>
      <c r="AF128" s="45" t="s">
        <v>1</v>
      </c>
      <c r="AG128" s="45"/>
      <c r="AH128" s="67"/>
      <c r="AI128" s="45"/>
      <c r="AJ128" s="38" t="s">
        <v>1</v>
      </c>
      <c r="AK128" s="45"/>
      <c r="AL128" s="67"/>
      <c r="AM128" s="45"/>
      <c r="AN128" s="45" t="s">
        <v>1</v>
      </c>
      <c r="AP128" s="67"/>
      <c r="AS128" s="61"/>
      <c r="AT128" s="45" t="s">
        <v>1</v>
      </c>
      <c r="AU128" s="45"/>
      <c r="AV128" s="67"/>
      <c r="AW128" s="45"/>
      <c r="AX128" s="38" t="s">
        <v>1</v>
      </c>
      <c r="AY128" s="45"/>
      <c r="AZ128" s="67"/>
      <c r="BA128" s="45"/>
      <c r="BB128" s="45" t="s">
        <v>1</v>
      </c>
      <c r="BD128" s="67"/>
    </row>
    <row r="129" spans="3:56" ht="12" customHeight="1" x14ac:dyDescent="0.2">
      <c r="C129" s="61"/>
      <c r="D129" s="45" t="s">
        <v>2</v>
      </c>
      <c r="E129" s="45"/>
      <c r="F129" s="67"/>
      <c r="G129" s="45"/>
      <c r="H129" s="38" t="s">
        <v>2</v>
      </c>
      <c r="I129" s="45"/>
      <c r="J129" s="67"/>
      <c r="K129" s="45"/>
      <c r="L129" s="45" t="s">
        <v>2</v>
      </c>
      <c r="M129" s="45"/>
      <c r="N129" s="67"/>
      <c r="O129" s="45"/>
      <c r="P129" s="45"/>
      <c r="Q129" s="61"/>
      <c r="R129" s="45" t="s">
        <v>2</v>
      </c>
      <c r="S129" s="45"/>
      <c r="T129" s="67"/>
      <c r="U129" s="45"/>
      <c r="V129" s="38" t="s">
        <v>2</v>
      </c>
      <c r="W129" s="45"/>
      <c r="X129" s="67"/>
      <c r="Y129" s="45"/>
      <c r="Z129" s="45" t="s">
        <v>2</v>
      </c>
      <c r="AA129" s="45"/>
      <c r="AB129" s="67"/>
      <c r="AC129" s="45"/>
      <c r="AD129" s="45"/>
      <c r="AE129" s="61"/>
      <c r="AF129" s="45" t="s">
        <v>2</v>
      </c>
      <c r="AG129" s="45"/>
      <c r="AH129" s="67"/>
      <c r="AI129" s="45"/>
      <c r="AJ129" s="38" t="s">
        <v>2</v>
      </c>
      <c r="AK129" s="45"/>
      <c r="AL129" s="67"/>
      <c r="AM129" s="45"/>
      <c r="AN129" s="45" t="s">
        <v>2</v>
      </c>
      <c r="AP129" s="67"/>
      <c r="AS129" s="61"/>
      <c r="AT129" s="45" t="s">
        <v>2</v>
      </c>
      <c r="AU129" s="45"/>
      <c r="AV129" s="67"/>
      <c r="AW129" s="45"/>
      <c r="AX129" s="38" t="s">
        <v>2</v>
      </c>
      <c r="AY129" s="45"/>
      <c r="AZ129" s="67"/>
      <c r="BA129" s="45"/>
      <c r="BB129" s="45" t="s">
        <v>2</v>
      </c>
      <c r="BD129" s="67"/>
    </row>
    <row r="130" spans="3:56" ht="12" customHeight="1" x14ac:dyDescent="0.2">
      <c r="C130" s="70"/>
      <c r="D130" s="49" t="s">
        <v>3</v>
      </c>
      <c r="E130" s="49"/>
      <c r="F130" s="71"/>
      <c r="G130" s="49"/>
      <c r="H130" s="39" t="s">
        <v>3</v>
      </c>
      <c r="I130" s="45"/>
      <c r="J130" s="71"/>
      <c r="K130" s="49"/>
      <c r="L130" s="49" t="s">
        <v>3</v>
      </c>
      <c r="M130" s="49"/>
      <c r="N130" s="71"/>
      <c r="O130" s="45"/>
      <c r="P130" s="45"/>
      <c r="Q130" s="70"/>
      <c r="R130" s="49" t="s">
        <v>3</v>
      </c>
      <c r="S130" s="49"/>
      <c r="T130" s="71"/>
      <c r="U130" s="49"/>
      <c r="V130" s="39" t="s">
        <v>3</v>
      </c>
      <c r="W130" s="49"/>
      <c r="X130" s="71"/>
      <c r="Y130" s="49"/>
      <c r="Z130" s="49" t="s">
        <v>3</v>
      </c>
      <c r="AA130" s="49"/>
      <c r="AB130" s="71"/>
      <c r="AC130" s="45"/>
      <c r="AD130" s="45"/>
      <c r="AE130" s="70"/>
      <c r="AF130" s="49" t="s">
        <v>3</v>
      </c>
      <c r="AG130" s="49"/>
      <c r="AH130" s="71"/>
      <c r="AI130" s="49"/>
      <c r="AJ130" s="39" t="s">
        <v>3</v>
      </c>
      <c r="AK130" s="49"/>
      <c r="AL130" s="71"/>
      <c r="AM130" s="49"/>
      <c r="AN130" s="49" t="s">
        <v>3</v>
      </c>
      <c r="AP130" s="71"/>
      <c r="AS130" s="70"/>
      <c r="AT130" s="49" t="s">
        <v>3</v>
      </c>
      <c r="AU130" s="49"/>
      <c r="AV130" s="71"/>
      <c r="AW130" s="49"/>
      <c r="AX130" s="39" t="s">
        <v>3</v>
      </c>
      <c r="AY130" s="49"/>
      <c r="AZ130" s="71"/>
      <c r="BA130" s="49"/>
      <c r="BB130" s="49" t="s">
        <v>3</v>
      </c>
      <c r="BD130" s="71"/>
    </row>
    <row r="131" spans="3:56" ht="12" customHeight="1" x14ac:dyDescent="0.2">
      <c r="C131" s="61"/>
      <c r="D131" s="45" t="s">
        <v>0</v>
      </c>
      <c r="E131" s="67"/>
      <c r="F131" s="45" t="s">
        <v>0</v>
      </c>
      <c r="G131" s="45"/>
      <c r="H131" s="67"/>
      <c r="I131" s="49"/>
      <c r="J131" s="45"/>
      <c r="K131" s="67"/>
      <c r="L131" s="45" t="s">
        <v>0</v>
      </c>
      <c r="M131" s="45"/>
      <c r="N131" s="67"/>
      <c r="O131" s="45"/>
      <c r="P131" s="45"/>
      <c r="Q131" s="61"/>
      <c r="R131" s="45" t="s">
        <v>0</v>
      </c>
      <c r="S131" s="67"/>
      <c r="T131" s="45" t="s">
        <v>0</v>
      </c>
      <c r="U131" s="45"/>
      <c r="V131" s="67"/>
      <c r="W131" s="45" t="s">
        <v>0</v>
      </c>
      <c r="X131" s="45"/>
      <c r="Y131" s="67"/>
      <c r="Z131" s="45" t="s">
        <v>0</v>
      </c>
      <c r="AA131" s="45"/>
      <c r="AB131" s="67"/>
      <c r="AC131" s="45"/>
      <c r="AD131" s="45"/>
      <c r="AE131" s="61"/>
      <c r="AF131" s="45" t="s">
        <v>0</v>
      </c>
      <c r="AG131" s="67"/>
      <c r="AH131" s="45" t="s">
        <v>0</v>
      </c>
      <c r="AI131" s="45"/>
      <c r="AJ131" s="67"/>
      <c r="AK131" s="45" t="s">
        <v>0</v>
      </c>
      <c r="AL131" s="45"/>
      <c r="AM131" s="67"/>
      <c r="AN131" s="45" t="s">
        <v>0</v>
      </c>
      <c r="AP131" s="67"/>
      <c r="AS131" s="61"/>
      <c r="AT131" s="45" t="s">
        <v>0</v>
      </c>
      <c r="AU131" s="67"/>
      <c r="AV131" s="45" t="s">
        <v>0</v>
      </c>
      <c r="AW131" s="45"/>
      <c r="AX131" s="67"/>
      <c r="AY131" s="45" t="s">
        <v>0</v>
      </c>
      <c r="AZ131" s="45"/>
      <c r="BA131" s="67"/>
      <c r="BB131" s="45" t="s">
        <v>0</v>
      </c>
      <c r="BD131" s="67"/>
    </row>
    <row r="132" spans="3:56" ht="12" customHeight="1" x14ac:dyDescent="0.2">
      <c r="C132" s="61"/>
      <c r="D132" s="45" t="s">
        <v>1</v>
      </c>
      <c r="E132" s="67"/>
      <c r="F132" s="45" t="s">
        <v>1</v>
      </c>
      <c r="G132" s="45"/>
      <c r="H132" s="67"/>
      <c r="I132" s="45" t="s">
        <v>0</v>
      </c>
      <c r="J132" s="45"/>
      <c r="K132" s="67"/>
      <c r="L132" s="45" t="s">
        <v>1</v>
      </c>
      <c r="M132" s="45"/>
      <c r="N132" s="67"/>
      <c r="O132" s="45"/>
      <c r="P132" s="45"/>
      <c r="Q132" s="61"/>
      <c r="R132" s="45" t="s">
        <v>1</v>
      </c>
      <c r="S132" s="67"/>
      <c r="T132" s="45" t="s">
        <v>1</v>
      </c>
      <c r="U132" s="45"/>
      <c r="V132" s="67"/>
      <c r="W132" s="45" t="s">
        <v>1</v>
      </c>
      <c r="X132" s="45"/>
      <c r="Y132" s="67"/>
      <c r="Z132" s="45" t="s">
        <v>1</v>
      </c>
      <c r="AA132" s="45"/>
      <c r="AB132" s="67"/>
      <c r="AC132" s="45"/>
      <c r="AD132" s="45"/>
      <c r="AE132" s="61"/>
      <c r="AF132" s="45" t="s">
        <v>1</v>
      </c>
      <c r="AG132" s="67"/>
      <c r="AH132" s="45" t="s">
        <v>1</v>
      </c>
      <c r="AI132" s="45"/>
      <c r="AJ132" s="67"/>
      <c r="AK132" s="45" t="s">
        <v>1</v>
      </c>
      <c r="AL132" s="45"/>
      <c r="AM132" s="67"/>
      <c r="AN132" s="45" t="s">
        <v>1</v>
      </c>
      <c r="AP132" s="67"/>
      <c r="AS132" s="61"/>
      <c r="AT132" s="45" t="s">
        <v>1</v>
      </c>
      <c r="AU132" s="67"/>
      <c r="AV132" s="45" t="s">
        <v>1</v>
      </c>
      <c r="AW132" s="45"/>
      <c r="AX132" s="67"/>
      <c r="AY132" s="45" t="s">
        <v>1</v>
      </c>
      <c r="AZ132" s="45"/>
      <c r="BA132" s="67"/>
      <c r="BB132" s="45" t="s">
        <v>1</v>
      </c>
      <c r="BD132" s="67"/>
    </row>
    <row r="133" spans="3:56" ht="12" customHeight="1" x14ac:dyDescent="0.2">
      <c r="C133" s="61"/>
      <c r="D133" s="45" t="s">
        <v>2</v>
      </c>
      <c r="E133" s="67"/>
      <c r="F133" s="45" t="s">
        <v>2</v>
      </c>
      <c r="G133" s="45"/>
      <c r="H133" s="67"/>
      <c r="I133" s="45" t="s">
        <v>1</v>
      </c>
      <c r="J133" s="45"/>
      <c r="K133" s="67"/>
      <c r="L133" s="45" t="s">
        <v>2</v>
      </c>
      <c r="M133" s="45"/>
      <c r="N133" s="67"/>
      <c r="O133" s="45"/>
      <c r="P133" s="45"/>
      <c r="Q133" s="61"/>
      <c r="R133" s="45" t="s">
        <v>2</v>
      </c>
      <c r="S133" s="67"/>
      <c r="T133" s="45" t="s">
        <v>2</v>
      </c>
      <c r="U133" s="45"/>
      <c r="V133" s="67"/>
      <c r="W133" s="45" t="s">
        <v>2</v>
      </c>
      <c r="X133" s="45"/>
      <c r="Y133" s="67"/>
      <c r="Z133" s="45" t="s">
        <v>2</v>
      </c>
      <c r="AA133" s="45"/>
      <c r="AB133" s="67"/>
      <c r="AC133" s="45"/>
      <c r="AD133" s="45"/>
      <c r="AE133" s="61"/>
      <c r="AF133" s="45" t="s">
        <v>2</v>
      </c>
      <c r="AG133" s="67"/>
      <c r="AH133" s="45" t="s">
        <v>2</v>
      </c>
      <c r="AI133" s="45"/>
      <c r="AJ133" s="67"/>
      <c r="AK133" s="45" t="s">
        <v>2</v>
      </c>
      <c r="AL133" s="45"/>
      <c r="AM133" s="67"/>
      <c r="AN133" s="45" t="s">
        <v>2</v>
      </c>
      <c r="AP133" s="67"/>
      <c r="AS133" s="61"/>
      <c r="AT133" s="45" t="s">
        <v>2</v>
      </c>
      <c r="AU133" s="67"/>
      <c r="AV133" s="45" t="s">
        <v>2</v>
      </c>
      <c r="AW133" s="45"/>
      <c r="AX133" s="67"/>
      <c r="AY133" s="45" t="s">
        <v>2</v>
      </c>
      <c r="AZ133" s="45"/>
      <c r="BA133" s="67"/>
      <c r="BB133" s="45" t="s">
        <v>2</v>
      </c>
      <c r="BD133" s="67"/>
    </row>
    <row r="134" spans="3:56" ht="12" customHeight="1" x14ac:dyDescent="0.2">
      <c r="C134" s="70"/>
      <c r="D134" s="49" t="s">
        <v>3</v>
      </c>
      <c r="E134" s="71"/>
      <c r="F134" s="49" t="s">
        <v>3</v>
      </c>
      <c r="G134" s="49"/>
      <c r="H134" s="71"/>
      <c r="I134" s="45" t="s">
        <v>2</v>
      </c>
      <c r="J134" s="49"/>
      <c r="K134" s="71"/>
      <c r="L134" s="49" t="s">
        <v>3</v>
      </c>
      <c r="M134" s="49"/>
      <c r="N134" s="71"/>
      <c r="O134" s="45"/>
      <c r="P134" s="45"/>
      <c r="Q134" s="70"/>
      <c r="R134" s="49" t="s">
        <v>3</v>
      </c>
      <c r="S134" s="71"/>
      <c r="T134" s="49" t="s">
        <v>3</v>
      </c>
      <c r="U134" s="49"/>
      <c r="V134" s="71"/>
      <c r="W134" s="49" t="s">
        <v>3</v>
      </c>
      <c r="X134" s="49"/>
      <c r="Y134" s="71"/>
      <c r="Z134" s="49" t="s">
        <v>3</v>
      </c>
      <c r="AA134" s="49"/>
      <c r="AB134" s="71"/>
      <c r="AC134" s="45"/>
      <c r="AD134" s="45"/>
      <c r="AE134" s="70"/>
      <c r="AF134" s="49" t="s">
        <v>3</v>
      </c>
      <c r="AG134" s="71"/>
      <c r="AH134" s="49" t="s">
        <v>3</v>
      </c>
      <c r="AI134" s="49"/>
      <c r="AJ134" s="71"/>
      <c r="AK134" s="49" t="s">
        <v>3</v>
      </c>
      <c r="AL134" s="49"/>
      <c r="AM134" s="71"/>
      <c r="AN134" s="49" t="s">
        <v>3</v>
      </c>
      <c r="AP134" s="71"/>
      <c r="AS134" s="70"/>
      <c r="AT134" s="49" t="s">
        <v>3</v>
      </c>
      <c r="AU134" s="71"/>
      <c r="AV134" s="49" t="s">
        <v>3</v>
      </c>
      <c r="AW134" s="49"/>
      <c r="AX134" s="71"/>
      <c r="AY134" s="49" t="s">
        <v>3</v>
      </c>
      <c r="AZ134" s="49"/>
      <c r="BA134" s="71"/>
      <c r="BB134" s="49" t="s">
        <v>3</v>
      </c>
      <c r="BD134" s="71"/>
    </row>
    <row r="135" spans="3:56" ht="12" customHeight="1" x14ac:dyDescent="0.2"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P135" s="45"/>
      <c r="AQ135" s="38"/>
      <c r="AS135" s="45"/>
      <c r="AT135" s="45"/>
      <c r="AU135" s="45"/>
      <c r="AV135" s="45"/>
      <c r="AW135" s="45"/>
      <c r="AX135" s="45"/>
      <c r="AY135" s="45"/>
      <c r="AZ135" s="45"/>
      <c r="BA135" s="45"/>
      <c r="BB135" s="45"/>
      <c r="BC135" s="45"/>
      <c r="BD135" s="45"/>
    </row>
    <row r="136" spans="3:56" ht="12" customHeight="1" x14ac:dyDescent="0.2">
      <c r="C136" s="132" t="s">
        <v>44</v>
      </c>
      <c r="D136" s="132"/>
      <c r="E136" s="132"/>
      <c r="F136" s="132"/>
      <c r="G136" s="132"/>
      <c r="H136" s="43"/>
      <c r="I136" s="43"/>
      <c r="J136" s="43"/>
      <c r="K136" s="43"/>
      <c r="L136" s="43"/>
      <c r="M136" s="43"/>
      <c r="N136" s="43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P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</row>
    <row r="137" spans="3:56" ht="12" customHeight="1" x14ac:dyDescent="0.2">
      <c r="C137" s="133"/>
      <c r="D137" s="133"/>
      <c r="E137" s="133"/>
      <c r="F137" s="133"/>
      <c r="G137" s="133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P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</row>
    <row r="138" spans="3:56" ht="12" customHeight="1" thickBot="1" x14ac:dyDescent="0.25">
      <c r="C138" s="61"/>
      <c r="D138" s="45" t="s">
        <v>0</v>
      </c>
      <c r="E138" s="45"/>
      <c r="F138" s="62"/>
      <c r="G138" s="45"/>
      <c r="H138" s="46" t="s">
        <v>0</v>
      </c>
      <c r="I138" s="46"/>
      <c r="J138" s="63"/>
      <c r="K138" s="46"/>
      <c r="L138" s="46" t="s">
        <v>0</v>
      </c>
      <c r="M138" s="46"/>
      <c r="N138" s="64"/>
      <c r="O138" s="45"/>
      <c r="P138" s="45"/>
      <c r="Q138" s="65"/>
      <c r="R138" s="46" t="s">
        <v>0</v>
      </c>
      <c r="S138" s="46"/>
      <c r="T138" s="63"/>
      <c r="U138" s="46"/>
      <c r="V138" s="46" t="s">
        <v>0</v>
      </c>
      <c r="W138" s="46"/>
      <c r="X138" s="63"/>
      <c r="Y138" s="46"/>
      <c r="Z138" s="46" t="s">
        <v>0</v>
      </c>
      <c r="AA138" s="46"/>
      <c r="AB138" s="64"/>
      <c r="AC138" s="45"/>
      <c r="AD138" s="45"/>
      <c r="AE138" s="65"/>
      <c r="AF138" s="46" t="s">
        <v>0</v>
      </c>
      <c r="AG138" s="46"/>
      <c r="AH138" s="63"/>
      <c r="AI138" s="46"/>
      <c r="AJ138" s="46" t="s">
        <v>0</v>
      </c>
      <c r="AK138" s="46"/>
      <c r="AL138" s="63"/>
      <c r="AM138" s="81"/>
      <c r="AN138" s="46" t="s">
        <v>0</v>
      </c>
      <c r="AP138" s="64"/>
      <c r="AS138" s="65"/>
      <c r="AT138" s="46" t="s">
        <v>0</v>
      </c>
      <c r="AU138" s="46"/>
      <c r="AV138" s="63"/>
      <c r="AW138" s="46"/>
      <c r="AX138" s="46" t="s">
        <v>0</v>
      </c>
      <c r="AY138" s="46"/>
      <c r="AZ138" s="63"/>
      <c r="BA138" s="81"/>
      <c r="BB138" s="46"/>
      <c r="BC138" s="46" t="s">
        <v>0</v>
      </c>
      <c r="BD138" s="64"/>
    </row>
    <row r="139" spans="3:56" ht="12" customHeight="1" x14ac:dyDescent="0.2">
      <c r="C139" s="61"/>
      <c r="D139" s="45" t="s">
        <v>1</v>
      </c>
      <c r="E139" s="45"/>
      <c r="F139" s="62"/>
      <c r="G139" s="47"/>
      <c r="H139" s="47" t="s">
        <v>1</v>
      </c>
      <c r="I139" s="47"/>
      <c r="J139" s="66"/>
      <c r="K139" s="45"/>
      <c r="L139" s="45" t="s">
        <v>1</v>
      </c>
      <c r="M139" s="45"/>
      <c r="N139" s="67"/>
      <c r="O139" s="45"/>
      <c r="P139" s="45"/>
      <c r="Q139" s="61"/>
      <c r="R139" s="45" t="s">
        <v>1</v>
      </c>
      <c r="S139" s="45"/>
      <c r="T139" s="62"/>
      <c r="U139" s="47"/>
      <c r="V139" s="47" t="s">
        <v>1</v>
      </c>
      <c r="W139" s="47"/>
      <c r="X139" s="66"/>
      <c r="Y139" s="45"/>
      <c r="Z139" s="45" t="s">
        <v>1</v>
      </c>
      <c r="AA139" s="45"/>
      <c r="AB139" s="67"/>
      <c r="AC139" s="45"/>
      <c r="AD139" s="45"/>
      <c r="AE139" s="61"/>
      <c r="AF139" s="45" t="s">
        <v>1</v>
      </c>
      <c r="AG139" s="45"/>
      <c r="AH139" s="62"/>
      <c r="AI139" s="47"/>
      <c r="AJ139" s="47" t="s">
        <v>1</v>
      </c>
      <c r="AK139" s="47"/>
      <c r="AL139" s="66"/>
      <c r="AM139" s="82"/>
      <c r="AN139" s="45" t="s">
        <v>1</v>
      </c>
      <c r="AP139" s="67"/>
      <c r="AS139" s="61"/>
      <c r="AT139" s="45" t="s">
        <v>1</v>
      </c>
      <c r="AU139" s="45"/>
      <c r="AV139" s="62"/>
      <c r="AW139" s="47"/>
      <c r="AX139" s="47" t="s">
        <v>1</v>
      </c>
      <c r="AY139" s="47"/>
      <c r="AZ139" s="66"/>
      <c r="BA139" s="82"/>
      <c r="BB139" s="45"/>
      <c r="BC139" s="45" t="s">
        <v>1</v>
      </c>
      <c r="BD139" s="67"/>
    </row>
    <row r="140" spans="3:56" ht="12" customHeight="1" x14ac:dyDescent="0.2">
      <c r="C140" s="61"/>
      <c r="D140" s="45" t="s">
        <v>2</v>
      </c>
      <c r="E140" s="45"/>
      <c r="F140" s="62"/>
      <c r="G140" s="45"/>
      <c r="H140" s="45" t="s">
        <v>2</v>
      </c>
      <c r="I140" s="45"/>
      <c r="J140" s="62"/>
      <c r="K140" s="45"/>
      <c r="L140" s="45" t="s">
        <v>2</v>
      </c>
      <c r="M140" s="45"/>
      <c r="N140" s="67"/>
      <c r="O140" s="45"/>
      <c r="P140" s="45"/>
      <c r="Q140" s="61"/>
      <c r="R140" s="45" t="s">
        <v>2</v>
      </c>
      <c r="S140" s="45"/>
      <c r="T140" s="62"/>
      <c r="U140" s="45"/>
      <c r="V140" s="45" t="s">
        <v>2</v>
      </c>
      <c r="W140" s="45"/>
      <c r="X140" s="62"/>
      <c r="Y140" s="45"/>
      <c r="Z140" s="45" t="s">
        <v>2</v>
      </c>
      <c r="AA140" s="45"/>
      <c r="AB140" s="67"/>
      <c r="AC140" s="45"/>
      <c r="AD140" s="45"/>
      <c r="AE140" s="61"/>
      <c r="AF140" s="45" t="s">
        <v>2</v>
      </c>
      <c r="AG140" s="45"/>
      <c r="AH140" s="62"/>
      <c r="AI140" s="45"/>
      <c r="AJ140" s="45" t="s">
        <v>2</v>
      </c>
      <c r="AK140" s="45"/>
      <c r="AL140" s="62"/>
      <c r="AM140" s="82"/>
      <c r="AN140" s="45" t="s">
        <v>2</v>
      </c>
      <c r="AP140" s="67"/>
      <c r="AS140" s="61"/>
      <c r="AT140" s="45" t="s">
        <v>2</v>
      </c>
      <c r="AU140" s="45"/>
      <c r="AV140" s="62"/>
      <c r="AW140" s="45"/>
      <c r="AX140" s="45" t="s">
        <v>2</v>
      </c>
      <c r="AY140" s="45"/>
      <c r="AZ140" s="62"/>
      <c r="BA140" s="82"/>
      <c r="BB140" s="45"/>
      <c r="BC140" s="45" t="s">
        <v>2</v>
      </c>
      <c r="BD140" s="67"/>
    </row>
    <row r="141" spans="3:56" ht="12" customHeight="1" thickBot="1" x14ac:dyDescent="0.25">
      <c r="C141" s="61"/>
      <c r="D141" s="45" t="s">
        <v>3</v>
      </c>
      <c r="E141" s="45"/>
      <c r="F141" s="68"/>
      <c r="G141" s="48"/>
      <c r="H141" s="48" t="s">
        <v>3</v>
      </c>
      <c r="I141" s="48"/>
      <c r="J141" s="69"/>
      <c r="K141" s="45"/>
      <c r="L141" s="45" t="s">
        <v>3</v>
      </c>
      <c r="M141" s="45"/>
      <c r="N141" s="67"/>
      <c r="O141" s="45"/>
      <c r="P141" s="45"/>
      <c r="Q141" s="61"/>
      <c r="R141" s="45" t="s">
        <v>3</v>
      </c>
      <c r="S141" s="45"/>
      <c r="T141" s="68"/>
      <c r="U141" s="48"/>
      <c r="V141" s="48" t="s">
        <v>3</v>
      </c>
      <c r="W141" s="48"/>
      <c r="X141" s="69"/>
      <c r="Y141" s="45"/>
      <c r="Z141" s="45" t="s">
        <v>3</v>
      </c>
      <c r="AA141" s="45"/>
      <c r="AB141" s="67"/>
      <c r="AC141" s="45"/>
      <c r="AD141" s="45"/>
      <c r="AE141" s="61"/>
      <c r="AF141" s="45" t="s">
        <v>3</v>
      </c>
      <c r="AG141" s="45"/>
      <c r="AH141" s="68"/>
      <c r="AI141" s="48"/>
      <c r="AJ141" s="48" t="s">
        <v>3</v>
      </c>
      <c r="AK141" s="48"/>
      <c r="AL141" s="69"/>
      <c r="AM141" s="45"/>
      <c r="AN141" s="45" t="s">
        <v>3</v>
      </c>
      <c r="AP141" s="67"/>
      <c r="AS141" s="61"/>
      <c r="AT141" s="45" t="s">
        <v>3</v>
      </c>
      <c r="AU141" s="45"/>
      <c r="AV141" s="68"/>
      <c r="AW141" s="48"/>
      <c r="AX141" s="48" t="s">
        <v>3</v>
      </c>
      <c r="AY141" s="48"/>
      <c r="AZ141" s="69"/>
      <c r="BA141" s="83"/>
      <c r="BB141" s="45"/>
      <c r="BC141" s="45" t="s">
        <v>3</v>
      </c>
      <c r="BD141" s="67"/>
    </row>
    <row r="142" spans="3:56" ht="12" customHeight="1" x14ac:dyDescent="0.2">
      <c r="C142" s="65"/>
      <c r="D142" s="46" t="s">
        <v>0</v>
      </c>
      <c r="E142" s="46"/>
      <c r="F142" s="67"/>
      <c r="G142" s="45"/>
      <c r="H142" s="40" t="s">
        <v>0</v>
      </c>
      <c r="I142" s="45"/>
      <c r="J142" s="62"/>
      <c r="K142" s="46"/>
      <c r="L142" s="46" t="s">
        <v>0</v>
      </c>
      <c r="M142" s="46"/>
      <c r="N142" s="64"/>
      <c r="O142" s="45"/>
      <c r="P142" s="45"/>
      <c r="Q142" s="65"/>
      <c r="R142" s="46" t="s">
        <v>0</v>
      </c>
      <c r="S142" s="46"/>
      <c r="T142" s="67"/>
      <c r="U142" s="45"/>
      <c r="V142" s="40" t="s">
        <v>0</v>
      </c>
      <c r="W142" s="45"/>
      <c r="X142" s="62"/>
      <c r="Y142" s="46"/>
      <c r="Z142" s="46" t="s">
        <v>0</v>
      </c>
      <c r="AA142" s="46"/>
      <c r="AB142" s="64"/>
      <c r="AC142" s="45"/>
      <c r="AD142" s="45"/>
      <c r="AE142" s="65"/>
      <c r="AF142" s="46" t="s">
        <v>0</v>
      </c>
      <c r="AG142" s="46"/>
      <c r="AH142" s="67"/>
      <c r="AI142" s="45"/>
      <c r="AJ142" s="40" t="s">
        <v>0</v>
      </c>
      <c r="AK142" s="45"/>
      <c r="AL142" s="62"/>
      <c r="AM142" s="46"/>
      <c r="AN142" s="46" t="s">
        <v>0</v>
      </c>
      <c r="AP142" s="64"/>
      <c r="AS142" s="65"/>
      <c r="AT142" s="46" t="s">
        <v>0</v>
      </c>
      <c r="AU142" s="46"/>
      <c r="AV142" s="67"/>
      <c r="AW142" s="45"/>
      <c r="AX142" s="40" t="s">
        <v>0</v>
      </c>
      <c r="AY142" s="45"/>
      <c r="AZ142" s="62"/>
      <c r="BA142" s="46"/>
      <c r="BB142" s="46"/>
      <c r="BC142" s="46" t="s">
        <v>0</v>
      </c>
      <c r="BD142" s="64"/>
    </row>
    <row r="143" spans="3:56" ht="12" customHeight="1" x14ac:dyDescent="0.2">
      <c r="C143" s="61"/>
      <c r="D143" s="45" t="s">
        <v>1</v>
      </c>
      <c r="E143" s="45"/>
      <c r="F143" s="67"/>
      <c r="G143" s="45"/>
      <c r="H143" s="38" t="s">
        <v>1</v>
      </c>
      <c r="I143" s="45"/>
      <c r="J143" s="67"/>
      <c r="K143" s="45"/>
      <c r="L143" s="45" t="s">
        <v>1</v>
      </c>
      <c r="M143" s="45"/>
      <c r="N143" s="67"/>
      <c r="O143" s="45"/>
      <c r="P143" s="45"/>
      <c r="Q143" s="61"/>
      <c r="R143" s="45" t="s">
        <v>1</v>
      </c>
      <c r="S143" s="45"/>
      <c r="T143" s="67"/>
      <c r="U143" s="45"/>
      <c r="V143" s="38" t="s">
        <v>1</v>
      </c>
      <c r="W143" s="45"/>
      <c r="X143" s="67"/>
      <c r="Y143" s="45"/>
      <c r="Z143" s="45" t="s">
        <v>1</v>
      </c>
      <c r="AA143" s="45"/>
      <c r="AB143" s="67"/>
      <c r="AC143" s="45"/>
      <c r="AD143" s="45"/>
      <c r="AE143" s="61"/>
      <c r="AF143" s="45" t="s">
        <v>1</v>
      </c>
      <c r="AG143" s="45"/>
      <c r="AH143" s="67"/>
      <c r="AI143" s="45"/>
      <c r="AJ143" s="38" t="s">
        <v>1</v>
      </c>
      <c r="AK143" s="45"/>
      <c r="AL143" s="67"/>
      <c r="AM143" s="45"/>
      <c r="AN143" s="45" t="s">
        <v>1</v>
      </c>
      <c r="AP143" s="67"/>
      <c r="AS143" s="61"/>
      <c r="AT143" s="45" t="s">
        <v>1</v>
      </c>
      <c r="AU143" s="45"/>
      <c r="AV143" s="67"/>
      <c r="AW143" s="45"/>
      <c r="AX143" s="38" t="s">
        <v>1</v>
      </c>
      <c r="AY143" s="45"/>
      <c r="AZ143" s="67"/>
      <c r="BA143" s="45"/>
      <c r="BB143" s="45"/>
      <c r="BC143" s="45" t="s">
        <v>1</v>
      </c>
      <c r="BD143" s="67"/>
    </row>
    <row r="144" spans="3:56" ht="12" customHeight="1" x14ac:dyDescent="0.2">
      <c r="C144" s="61"/>
      <c r="D144" s="45" t="s">
        <v>2</v>
      </c>
      <c r="E144" s="45"/>
      <c r="F144" s="67"/>
      <c r="G144" s="45"/>
      <c r="H144" s="38" t="s">
        <v>2</v>
      </c>
      <c r="I144" s="45"/>
      <c r="J144" s="67"/>
      <c r="K144" s="45"/>
      <c r="L144" s="45" t="s">
        <v>2</v>
      </c>
      <c r="M144" s="45"/>
      <c r="N144" s="67"/>
      <c r="O144" s="45"/>
      <c r="P144" s="45"/>
      <c r="Q144" s="61"/>
      <c r="R144" s="45" t="s">
        <v>2</v>
      </c>
      <c r="S144" s="45"/>
      <c r="T144" s="67"/>
      <c r="U144" s="45"/>
      <c r="V144" s="38" t="s">
        <v>2</v>
      </c>
      <c r="W144" s="45"/>
      <c r="X144" s="67"/>
      <c r="Y144" s="45"/>
      <c r="Z144" s="45" t="s">
        <v>2</v>
      </c>
      <c r="AA144" s="45"/>
      <c r="AB144" s="67"/>
      <c r="AC144" s="45"/>
      <c r="AD144" s="45"/>
      <c r="AE144" s="61"/>
      <c r="AF144" s="45" t="s">
        <v>2</v>
      </c>
      <c r="AG144" s="45"/>
      <c r="AH144" s="67"/>
      <c r="AI144" s="45"/>
      <c r="AJ144" s="38" t="s">
        <v>2</v>
      </c>
      <c r="AK144" s="45"/>
      <c r="AL144" s="67"/>
      <c r="AM144" s="45"/>
      <c r="AN144" s="45" t="s">
        <v>2</v>
      </c>
      <c r="AP144" s="67"/>
      <c r="AS144" s="61"/>
      <c r="AT144" s="45" t="s">
        <v>2</v>
      </c>
      <c r="AU144" s="45"/>
      <c r="AV144" s="67"/>
      <c r="AW144" s="45"/>
      <c r="AX144" s="38" t="s">
        <v>2</v>
      </c>
      <c r="AY144" s="45"/>
      <c r="AZ144" s="67"/>
      <c r="BA144" s="45"/>
      <c r="BB144" s="45"/>
      <c r="BC144" s="45" t="s">
        <v>2</v>
      </c>
      <c r="BD144" s="67"/>
    </row>
    <row r="145" spans="3:56" ht="12" customHeight="1" x14ac:dyDescent="0.2">
      <c r="C145" s="70"/>
      <c r="D145" s="49" t="s">
        <v>3</v>
      </c>
      <c r="E145" s="49"/>
      <c r="F145" s="71"/>
      <c r="G145" s="49"/>
      <c r="H145" s="39" t="s">
        <v>3</v>
      </c>
      <c r="I145" s="49"/>
      <c r="J145" s="71"/>
      <c r="K145" s="49"/>
      <c r="L145" s="49" t="s">
        <v>3</v>
      </c>
      <c r="M145" s="49"/>
      <c r="N145" s="71"/>
      <c r="O145" s="45"/>
      <c r="P145" s="45"/>
      <c r="Q145" s="70"/>
      <c r="R145" s="49" t="s">
        <v>3</v>
      </c>
      <c r="S145" s="49"/>
      <c r="T145" s="71"/>
      <c r="U145" s="49"/>
      <c r="V145" s="39" t="s">
        <v>3</v>
      </c>
      <c r="W145" s="49"/>
      <c r="X145" s="71"/>
      <c r="Y145" s="49"/>
      <c r="Z145" s="49" t="s">
        <v>3</v>
      </c>
      <c r="AA145" s="49"/>
      <c r="AB145" s="71"/>
      <c r="AC145" s="45"/>
      <c r="AD145" s="45"/>
      <c r="AE145" s="70"/>
      <c r="AF145" s="49" t="s">
        <v>3</v>
      </c>
      <c r="AG145" s="49"/>
      <c r="AH145" s="71"/>
      <c r="AI145" s="49"/>
      <c r="AJ145" s="39" t="s">
        <v>3</v>
      </c>
      <c r="AK145" s="49"/>
      <c r="AL145" s="71"/>
      <c r="AM145" s="49"/>
      <c r="AN145" s="49" t="s">
        <v>3</v>
      </c>
      <c r="AP145" s="71"/>
      <c r="AS145" s="70"/>
      <c r="AT145" s="49" t="s">
        <v>3</v>
      </c>
      <c r="AU145" s="49"/>
      <c r="AV145" s="71"/>
      <c r="AW145" s="49"/>
      <c r="AX145" s="39" t="s">
        <v>3</v>
      </c>
      <c r="AY145" s="49"/>
      <c r="AZ145" s="71"/>
      <c r="BA145" s="49"/>
      <c r="BB145" s="49"/>
      <c r="BC145" s="49" t="s">
        <v>3</v>
      </c>
      <c r="BD145" s="71"/>
    </row>
    <row r="146" spans="3:56" ht="12" customHeight="1" x14ac:dyDescent="0.2">
      <c r="C146" s="61"/>
      <c r="D146" s="45" t="s">
        <v>0</v>
      </c>
      <c r="E146" s="67"/>
      <c r="F146" s="45" t="s">
        <v>0</v>
      </c>
      <c r="G146" s="45"/>
      <c r="H146" s="67"/>
      <c r="I146" s="45" t="s">
        <v>0</v>
      </c>
      <c r="J146" s="45"/>
      <c r="K146" s="67"/>
      <c r="L146" s="45" t="s">
        <v>0</v>
      </c>
      <c r="M146" s="45"/>
      <c r="N146" s="67"/>
      <c r="O146" s="45"/>
      <c r="P146" s="45"/>
      <c r="Q146" s="61"/>
      <c r="R146" s="45" t="s">
        <v>0</v>
      </c>
      <c r="S146" s="67"/>
      <c r="T146" s="45" t="s">
        <v>0</v>
      </c>
      <c r="U146" s="45"/>
      <c r="V146" s="67"/>
      <c r="W146" s="45" t="s">
        <v>0</v>
      </c>
      <c r="X146" s="45"/>
      <c r="Y146" s="67"/>
      <c r="Z146" s="45" t="s">
        <v>0</v>
      </c>
      <c r="AA146" s="45"/>
      <c r="AB146" s="67"/>
      <c r="AC146" s="45"/>
      <c r="AD146" s="45"/>
      <c r="AE146" s="61"/>
      <c r="AF146" s="45" t="s">
        <v>0</v>
      </c>
      <c r="AG146" s="67"/>
      <c r="AH146" s="45" t="s">
        <v>0</v>
      </c>
      <c r="AI146" s="45"/>
      <c r="AJ146" s="67"/>
      <c r="AK146" s="45" t="s">
        <v>0</v>
      </c>
      <c r="AL146" s="45"/>
      <c r="AM146" s="67"/>
      <c r="AN146" s="45" t="s">
        <v>0</v>
      </c>
      <c r="AP146" s="67"/>
      <c r="AS146" s="61"/>
      <c r="AT146" s="45" t="s">
        <v>0</v>
      </c>
      <c r="AU146" s="67"/>
      <c r="AV146" s="45" t="s">
        <v>0</v>
      </c>
      <c r="AW146" s="45"/>
      <c r="AX146" s="67"/>
      <c r="AY146" s="45" t="s">
        <v>0</v>
      </c>
      <c r="AZ146" s="45"/>
      <c r="BA146" s="67"/>
      <c r="BB146" s="61"/>
      <c r="BC146" s="45" t="s">
        <v>0</v>
      </c>
      <c r="BD146" s="67"/>
    </row>
    <row r="147" spans="3:56" ht="12" customHeight="1" x14ac:dyDescent="0.2">
      <c r="C147" s="61"/>
      <c r="D147" s="45" t="s">
        <v>1</v>
      </c>
      <c r="E147" s="67"/>
      <c r="F147" s="45" t="s">
        <v>1</v>
      </c>
      <c r="G147" s="45"/>
      <c r="H147" s="67"/>
      <c r="I147" s="45" t="s">
        <v>1</v>
      </c>
      <c r="J147" s="45"/>
      <c r="K147" s="67"/>
      <c r="L147" s="45" t="s">
        <v>1</v>
      </c>
      <c r="M147" s="45"/>
      <c r="N147" s="67"/>
      <c r="O147" s="45"/>
      <c r="P147" s="45"/>
      <c r="Q147" s="61"/>
      <c r="R147" s="45" t="s">
        <v>1</v>
      </c>
      <c r="S147" s="67"/>
      <c r="T147" s="45" t="s">
        <v>1</v>
      </c>
      <c r="U147" s="45"/>
      <c r="V147" s="67"/>
      <c r="W147" s="45" t="s">
        <v>1</v>
      </c>
      <c r="X147" s="45"/>
      <c r="Y147" s="67"/>
      <c r="Z147" s="45" t="s">
        <v>1</v>
      </c>
      <c r="AA147" s="45"/>
      <c r="AB147" s="67"/>
      <c r="AC147" s="45"/>
      <c r="AD147" s="45"/>
      <c r="AE147" s="61"/>
      <c r="AF147" s="45" t="s">
        <v>1</v>
      </c>
      <c r="AG147" s="67"/>
      <c r="AH147" s="45" t="s">
        <v>1</v>
      </c>
      <c r="AI147" s="45"/>
      <c r="AJ147" s="67"/>
      <c r="AK147" s="45" t="s">
        <v>1</v>
      </c>
      <c r="AL147" s="45"/>
      <c r="AM147" s="67"/>
      <c r="AN147" s="45" t="s">
        <v>1</v>
      </c>
      <c r="AP147" s="67"/>
      <c r="AS147" s="61"/>
      <c r="AT147" s="45" t="s">
        <v>1</v>
      </c>
      <c r="AU147" s="67"/>
      <c r="AV147" s="45" t="s">
        <v>1</v>
      </c>
      <c r="AW147" s="45"/>
      <c r="AX147" s="67"/>
      <c r="AY147" s="45" t="s">
        <v>1</v>
      </c>
      <c r="AZ147" s="45"/>
      <c r="BA147" s="67"/>
      <c r="BB147" s="61"/>
      <c r="BC147" s="45" t="s">
        <v>1</v>
      </c>
      <c r="BD147" s="67"/>
    </row>
    <row r="148" spans="3:56" ht="12" customHeight="1" x14ac:dyDescent="0.2">
      <c r="C148" s="61"/>
      <c r="D148" s="45" t="s">
        <v>2</v>
      </c>
      <c r="E148" s="67"/>
      <c r="F148" s="45" t="s">
        <v>2</v>
      </c>
      <c r="G148" s="45"/>
      <c r="H148" s="67"/>
      <c r="I148" s="45" t="s">
        <v>2</v>
      </c>
      <c r="J148" s="45"/>
      <c r="K148" s="67"/>
      <c r="L148" s="45" t="s">
        <v>2</v>
      </c>
      <c r="M148" s="45"/>
      <c r="N148" s="67"/>
      <c r="O148" s="45"/>
      <c r="P148" s="45"/>
      <c r="Q148" s="61"/>
      <c r="R148" s="45" t="s">
        <v>2</v>
      </c>
      <c r="S148" s="67"/>
      <c r="T148" s="45" t="s">
        <v>2</v>
      </c>
      <c r="U148" s="45"/>
      <c r="V148" s="67"/>
      <c r="W148" s="45" t="s">
        <v>2</v>
      </c>
      <c r="X148" s="45"/>
      <c r="Y148" s="67"/>
      <c r="Z148" s="45" t="s">
        <v>2</v>
      </c>
      <c r="AA148" s="45"/>
      <c r="AB148" s="67"/>
      <c r="AC148" s="45"/>
      <c r="AD148" s="45"/>
      <c r="AE148" s="61"/>
      <c r="AF148" s="45" t="s">
        <v>2</v>
      </c>
      <c r="AG148" s="67"/>
      <c r="AH148" s="45" t="s">
        <v>2</v>
      </c>
      <c r="AI148" s="45"/>
      <c r="AJ148" s="67"/>
      <c r="AK148" s="45" t="s">
        <v>2</v>
      </c>
      <c r="AL148" s="45"/>
      <c r="AM148" s="67"/>
      <c r="AN148" s="45" t="s">
        <v>2</v>
      </c>
      <c r="AP148" s="67"/>
      <c r="AS148" s="61"/>
      <c r="AT148" s="45" t="s">
        <v>2</v>
      </c>
      <c r="AU148" s="67"/>
      <c r="AV148" s="45" t="s">
        <v>2</v>
      </c>
      <c r="AW148" s="45"/>
      <c r="AX148" s="67"/>
      <c r="AY148" s="45" t="s">
        <v>2</v>
      </c>
      <c r="AZ148" s="45"/>
      <c r="BA148" s="67"/>
      <c r="BB148" s="61"/>
      <c r="BC148" s="45" t="s">
        <v>2</v>
      </c>
      <c r="BD148" s="67"/>
    </row>
    <row r="149" spans="3:56" ht="12" customHeight="1" x14ac:dyDescent="0.2">
      <c r="C149" s="70"/>
      <c r="D149" s="49" t="s">
        <v>3</v>
      </c>
      <c r="E149" s="71"/>
      <c r="F149" s="49" t="s">
        <v>3</v>
      </c>
      <c r="G149" s="49"/>
      <c r="H149" s="71"/>
      <c r="I149" s="49" t="s">
        <v>3</v>
      </c>
      <c r="J149" s="49"/>
      <c r="K149" s="71"/>
      <c r="L149" s="49" t="s">
        <v>3</v>
      </c>
      <c r="M149" s="49"/>
      <c r="N149" s="71"/>
      <c r="O149" s="45"/>
      <c r="P149" s="45"/>
      <c r="Q149" s="70"/>
      <c r="R149" s="49" t="s">
        <v>3</v>
      </c>
      <c r="S149" s="71"/>
      <c r="T149" s="49" t="s">
        <v>3</v>
      </c>
      <c r="U149" s="49"/>
      <c r="V149" s="71"/>
      <c r="W149" s="49" t="s">
        <v>3</v>
      </c>
      <c r="X149" s="49"/>
      <c r="Y149" s="71"/>
      <c r="Z149" s="49" t="s">
        <v>3</v>
      </c>
      <c r="AA149" s="49"/>
      <c r="AB149" s="71"/>
      <c r="AC149" s="45"/>
      <c r="AD149" s="45"/>
      <c r="AE149" s="70"/>
      <c r="AF149" s="49" t="s">
        <v>3</v>
      </c>
      <c r="AG149" s="71"/>
      <c r="AH149" s="49" t="s">
        <v>3</v>
      </c>
      <c r="AI149" s="49"/>
      <c r="AJ149" s="71"/>
      <c r="AK149" s="49" t="s">
        <v>3</v>
      </c>
      <c r="AL149" s="49"/>
      <c r="AM149" s="71"/>
      <c r="AN149" s="49" t="s">
        <v>3</v>
      </c>
      <c r="AP149" s="71"/>
      <c r="AS149" s="70"/>
      <c r="AT149" s="49" t="s">
        <v>3</v>
      </c>
      <c r="AU149" s="71"/>
      <c r="AV149" s="49" t="s">
        <v>3</v>
      </c>
      <c r="AW149" s="49"/>
      <c r="AX149" s="71"/>
      <c r="AY149" s="49" t="s">
        <v>3</v>
      </c>
      <c r="AZ149" s="49"/>
      <c r="BA149" s="71"/>
      <c r="BB149" s="70"/>
      <c r="BC149" s="49" t="s">
        <v>3</v>
      </c>
      <c r="BD149" s="71"/>
    </row>
    <row r="150" spans="3:56" ht="12" customHeight="1" x14ac:dyDescent="0.2"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5"/>
      <c r="AH150" s="45"/>
      <c r="AI150" s="45"/>
      <c r="AJ150" s="45"/>
      <c r="AK150" s="45"/>
      <c r="AL150" s="45"/>
      <c r="AM150" s="45"/>
      <c r="AN150" s="45"/>
      <c r="AP150" s="45"/>
      <c r="AS150" s="45"/>
      <c r="AT150" s="45"/>
      <c r="AU150" s="45"/>
      <c r="AV150" s="45"/>
      <c r="AW150" s="45"/>
      <c r="AX150" s="45"/>
      <c r="AY150" s="45"/>
      <c r="AZ150" s="45"/>
      <c r="BA150" s="45"/>
      <c r="BB150" s="45"/>
      <c r="BC150" s="45"/>
      <c r="BD150" s="45"/>
    </row>
    <row r="151" spans="3:56" ht="12" customHeight="1" x14ac:dyDescent="0.2">
      <c r="C151" s="132" t="s">
        <v>65</v>
      </c>
      <c r="D151" s="132"/>
      <c r="E151" s="132"/>
      <c r="F151" s="132"/>
      <c r="G151" s="132"/>
      <c r="H151" s="43"/>
      <c r="I151" s="43"/>
      <c r="J151" s="43"/>
      <c r="K151" s="43"/>
      <c r="L151" s="43"/>
      <c r="M151" s="43"/>
      <c r="N151" s="43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P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</row>
    <row r="152" spans="3:56" ht="12" customHeight="1" x14ac:dyDescent="0.2">
      <c r="C152" s="133"/>
      <c r="D152" s="133"/>
      <c r="E152" s="133"/>
      <c r="F152" s="133"/>
      <c r="G152" s="133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P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</row>
    <row r="153" spans="3:56" ht="12" customHeight="1" thickBot="1" x14ac:dyDescent="0.25">
      <c r="C153" s="61"/>
      <c r="D153" s="45" t="s">
        <v>0</v>
      </c>
      <c r="E153" s="45"/>
      <c r="F153" s="62"/>
      <c r="G153" s="45"/>
      <c r="H153" s="46" t="s">
        <v>0</v>
      </c>
      <c r="I153" s="46"/>
      <c r="J153" s="63"/>
      <c r="K153" s="46"/>
      <c r="L153" s="46" t="s">
        <v>0</v>
      </c>
      <c r="M153" s="46"/>
      <c r="N153" s="64"/>
      <c r="O153" s="45"/>
      <c r="P153" s="45"/>
      <c r="Q153" s="65"/>
      <c r="R153" s="46" t="s">
        <v>0</v>
      </c>
      <c r="S153" s="46"/>
      <c r="T153" s="63"/>
      <c r="U153" s="46"/>
      <c r="V153" s="46" t="s">
        <v>0</v>
      </c>
      <c r="W153" s="46"/>
      <c r="X153" s="63"/>
      <c r="Y153" s="46"/>
      <c r="Z153" s="46" t="s">
        <v>0</v>
      </c>
      <c r="AA153" s="46"/>
      <c r="AB153" s="64"/>
      <c r="AC153" s="45"/>
      <c r="AD153" s="45"/>
      <c r="AE153" s="65"/>
      <c r="AF153" s="46" t="s">
        <v>0</v>
      </c>
      <c r="AG153" s="46"/>
      <c r="AH153" s="63"/>
      <c r="AI153" s="46"/>
      <c r="AJ153" s="46" t="s">
        <v>0</v>
      </c>
      <c r="AK153" s="46"/>
      <c r="AL153" s="63"/>
      <c r="AM153" s="81"/>
      <c r="AN153" s="46" t="s">
        <v>0</v>
      </c>
      <c r="AP153" s="64"/>
      <c r="AQ153" s="38"/>
      <c r="AS153" s="65"/>
      <c r="AT153" s="46" t="s">
        <v>0</v>
      </c>
      <c r="AU153" s="46"/>
      <c r="AV153" s="63"/>
      <c r="AW153" s="46"/>
      <c r="AX153" s="46" t="s">
        <v>0</v>
      </c>
      <c r="AY153" s="46"/>
      <c r="AZ153" s="63"/>
      <c r="BA153" s="81"/>
      <c r="BB153" s="46"/>
      <c r="BC153" s="46" t="s">
        <v>0</v>
      </c>
      <c r="BD153" s="64"/>
    </row>
    <row r="154" spans="3:56" ht="12" customHeight="1" x14ac:dyDescent="0.2">
      <c r="C154" s="61"/>
      <c r="D154" s="45" t="s">
        <v>1</v>
      </c>
      <c r="E154" s="45"/>
      <c r="F154" s="62"/>
      <c r="G154" s="47"/>
      <c r="H154" s="47" t="s">
        <v>1</v>
      </c>
      <c r="I154" s="47"/>
      <c r="J154" s="66"/>
      <c r="K154" s="45"/>
      <c r="L154" s="45" t="s">
        <v>1</v>
      </c>
      <c r="M154" s="45"/>
      <c r="N154" s="67"/>
      <c r="O154" s="45"/>
      <c r="P154" s="45"/>
      <c r="Q154" s="61"/>
      <c r="R154" s="45" t="s">
        <v>1</v>
      </c>
      <c r="S154" s="45"/>
      <c r="T154" s="62"/>
      <c r="U154" s="47"/>
      <c r="V154" s="47" t="s">
        <v>1</v>
      </c>
      <c r="W154" s="47"/>
      <c r="X154" s="66"/>
      <c r="Y154" s="45"/>
      <c r="Z154" s="45" t="s">
        <v>1</v>
      </c>
      <c r="AA154" s="45"/>
      <c r="AB154" s="67"/>
      <c r="AC154" s="45"/>
      <c r="AD154" s="45"/>
      <c r="AE154" s="61"/>
      <c r="AF154" s="45" t="s">
        <v>1</v>
      </c>
      <c r="AG154" s="45"/>
      <c r="AH154" s="62"/>
      <c r="AI154" s="47"/>
      <c r="AJ154" s="47" t="s">
        <v>1</v>
      </c>
      <c r="AK154" s="47"/>
      <c r="AL154" s="66"/>
      <c r="AM154" s="82"/>
      <c r="AN154" s="45" t="s">
        <v>1</v>
      </c>
      <c r="AP154" s="67"/>
      <c r="AQ154" s="38"/>
      <c r="AS154" s="61"/>
      <c r="AT154" s="45" t="s">
        <v>1</v>
      </c>
      <c r="AU154" s="45"/>
      <c r="AV154" s="62"/>
      <c r="AW154" s="47"/>
      <c r="AX154" s="47" t="s">
        <v>1</v>
      </c>
      <c r="AY154" s="47"/>
      <c r="AZ154" s="66"/>
      <c r="BA154" s="82"/>
      <c r="BB154" s="45"/>
      <c r="BC154" s="45" t="s">
        <v>1</v>
      </c>
      <c r="BD154" s="67"/>
    </row>
    <row r="155" spans="3:56" ht="12" customHeight="1" x14ac:dyDescent="0.2">
      <c r="C155" s="61"/>
      <c r="D155" s="45" t="s">
        <v>2</v>
      </c>
      <c r="E155" s="45"/>
      <c r="F155" s="62"/>
      <c r="G155" s="45"/>
      <c r="H155" s="45" t="s">
        <v>2</v>
      </c>
      <c r="I155" s="45"/>
      <c r="J155" s="62"/>
      <c r="K155" s="45"/>
      <c r="L155" s="45" t="s">
        <v>2</v>
      </c>
      <c r="M155" s="45"/>
      <c r="N155" s="67"/>
      <c r="O155" s="45"/>
      <c r="P155" s="45"/>
      <c r="Q155" s="61"/>
      <c r="R155" s="45" t="s">
        <v>2</v>
      </c>
      <c r="S155" s="45"/>
      <c r="T155" s="62"/>
      <c r="U155" s="45"/>
      <c r="V155" s="45" t="s">
        <v>2</v>
      </c>
      <c r="W155" s="45"/>
      <c r="X155" s="62"/>
      <c r="Y155" s="45"/>
      <c r="Z155" s="45" t="s">
        <v>2</v>
      </c>
      <c r="AA155" s="45"/>
      <c r="AB155" s="67"/>
      <c r="AC155" s="45"/>
      <c r="AD155" s="45"/>
      <c r="AE155" s="61"/>
      <c r="AF155" s="45" t="s">
        <v>2</v>
      </c>
      <c r="AG155" s="45">
        <v>1</v>
      </c>
      <c r="AH155" s="62"/>
      <c r="AI155" s="45"/>
      <c r="AJ155" s="45" t="s">
        <v>2</v>
      </c>
      <c r="AK155" s="45"/>
      <c r="AL155" s="62"/>
      <c r="AM155" s="82"/>
      <c r="AN155" s="45" t="s">
        <v>2</v>
      </c>
      <c r="AO155">
        <v>1</v>
      </c>
      <c r="AP155" s="67"/>
      <c r="AQ155" s="38"/>
      <c r="AS155" s="61"/>
      <c r="AT155" s="45" t="s">
        <v>2</v>
      </c>
      <c r="AU155" s="45"/>
      <c r="AV155" s="62"/>
      <c r="AW155" s="45"/>
      <c r="AX155" s="45" t="s">
        <v>2</v>
      </c>
      <c r="AY155" s="45"/>
      <c r="AZ155" s="62"/>
      <c r="BA155" s="82"/>
      <c r="BB155" s="45"/>
      <c r="BC155" s="45" t="s">
        <v>2</v>
      </c>
      <c r="BD155" s="67"/>
    </row>
    <row r="156" spans="3:56" ht="12" customHeight="1" thickBot="1" x14ac:dyDescent="0.25">
      <c r="C156" s="61"/>
      <c r="D156" s="45" t="s">
        <v>3</v>
      </c>
      <c r="E156" s="45"/>
      <c r="F156" s="68"/>
      <c r="G156" s="48"/>
      <c r="H156" s="48" t="s">
        <v>3</v>
      </c>
      <c r="I156" s="48"/>
      <c r="J156" s="69"/>
      <c r="K156" s="45"/>
      <c r="L156" s="45" t="s">
        <v>3</v>
      </c>
      <c r="M156" s="45"/>
      <c r="N156" s="67"/>
      <c r="O156" s="45"/>
      <c r="P156" s="45"/>
      <c r="Q156" s="61"/>
      <c r="R156" s="45" t="s">
        <v>3</v>
      </c>
      <c r="S156" s="45"/>
      <c r="T156" s="68"/>
      <c r="U156" s="48"/>
      <c r="V156" s="48" t="s">
        <v>3</v>
      </c>
      <c r="W156" s="48"/>
      <c r="X156" s="69"/>
      <c r="Y156" s="45"/>
      <c r="Z156" s="45" t="s">
        <v>3</v>
      </c>
      <c r="AA156" s="45"/>
      <c r="AB156" s="67"/>
      <c r="AC156" s="45"/>
      <c r="AD156" s="45"/>
      <c r="AE156" s="61"/>
      <c r="AF156" s="45" t="s">
        <v>3</v>
      </c>
      <c r="AG156" s="45"/>
      <c r="AH156" s="68"/>
      <c r="AI156" s="48"/>
      <c r="AJ156" s="48" t="s">
        <v>3</v>
      </c>
      <c r="AK156" s="48"/>
      <c r="AL156" s="69"/>
      <c r="AM156" s="83"/>
      <c r="AN156" s="45" t="s">
        <v>3</v>
      </c>
      <c r="AP156" s="67"/>
      <c r="AQ156" s="38"/>
      <c r="AS156" s="61"/>
      <c r="AT156" s="45" t="s">
        <v>3</v>
      </c>
      <c r="AU156" s="45"/>
      <c r="AV156" s="68"/>
      <c r="AW156" s="48"/>
      <c r="AX156" s="48" t="s">
        <v>3</v>
      </c>
      <c r="AY156" s="48"/>
      <c r="AZ156" s="69"/>
      <c r="BA156" s="83"/>
      <c r="BB156" s="45"/>
      <c r="BC156" s="45" t="s">
        <v>3</v>
      </c>
      <c r="BD156" s="67"/>
    </row>
    <row r="157" spans="3:56" ht="12" customHeight="1" x14ac:dyDescent="0.2">
      <c r="C157" s="65"/>
      <c r="D157" s="46" t="s">
        <v>0</v>
      </c>
      <c r="E157" s="46"/>
      <c r="F157" s="67"/>
      <c r="G157" s="45"/>
      <c r="H157" s="40" t="s">
        <v>0</v>
      </c>
      <c r="I157" s="45"/>
      <c r="J157" s="62"/>
      <c r="K157" s="46"/>
      <c r="L157" s="46" t="s">
        <v>0</v>
      </c>
      <c r="M157" s="46"/>
      <c r="N157" s="64"/>
      <c r="O157" s="45"/>
      <c r="P157" s="45"/>
      <c r="Q157" s="65"/>
      <c r="R157" s="46" t="s">
        <v>0</v>
      </c>
      <c r="S157" s="46">
        <v>1</v>
      </c>
      <c r="T157" s="67"/>
      <c r="U157" s="45"/>
      <c r="V157" s="40" t="s">
        <v>0</v>
      </c>
      <c r="W157" s="45"/>
      <c r="X157" s="62"/>
      <c r="Y157" s="46"/>
      <c r="Z157" s="46" t="s">
        <v>0</v>
      </c>
      <c r="AA157" s="46"/>
      <c r="AB157" s="64"/>
      <c r="AC157" s="45"/>
      <c r="AD157" s="45"/>
      <c r="AE157" s="65"/>
      <c r="AF157" s="46" t="s">
        <v>0</v>
      </c>
      <c r="AG157" s="46"/>
      <c r="AH157" s="67"/>
      <c r="AI157" s="45"/>
      <c r="AJ157" s="40" t="s">
        <v>0</v>
      </c>
      <c r="AK157" s="45"/>
      <c r="AL157" s="62"/>
      <c r="AM157" s="46"/>
      <c r="AN157" s="46" t="s">
        <v>0</v>
      </c>
      <c r="AP157" s="64"/>
      <c r="AQ157" s="38"/>
      <c r="AS157" s="65"/>
      <c r="AT157" s="46" t="s">
        <v>0</v>
      </c>
      <c r="AU157" s="46"/>
      <c r="AV157" s="67"/>
      <c r="AW157" s="45"/>
      <c r="AX157" s="40" t="s">
        <v>0</v>
      </c>
      <c r="AY157" s="45"/>
      <c r="AZ157" s="62"/>
      <c r="BA157" s="46"/>
      <c r="BB157" s="46"/>
      <c r="BC157" s="46" t="s">
        <v>0</v>
      </c>
      <c r="BD157" s="64"/>
    </row>
    <row r="158" spans="3:56" ht="12" customHeight="1" x14ac:dyDescent="0.2">
      <c r="C158" s="61"/>
      <c r="D158" s="45" t="s">
        <v>1</v>
      </c>
      <c r="E158" s="45">
        <v>1</v>
      </c>
      <c r="F158" s="67"/>
      <c r="G158" s="45"/>
      <c r="H158" s="38" t="s">
        <v>1</v>
      </c>
      <c r="I158" s="45"/>
      <c r="J158" s="67"/>
      <c r="K158" s="45"/>
      <c r="L158" s="45" t="s">
        <v>1</v>
      </c>
      <c r="M158" s="45"/>
      <c r="N158" s="67"/>
      <c r="O158" s="45"/>
      <c r="P158" s="45"/>
      <c r="Q158" s="61"/>
      <c r="R158" s="45" t="s">
        <v>1</v>
      </c>
      <c r="S158" s="45"/>
      <c r="T158" s="67"/>
      <c r="U158" s="45"/>
      <c r="V158" s="38" t="s">
        <v>1</v>
      </c>
      <c r="W158" s="45"/>
      <c r="X158" s="67"/>
      <c r="Y158" s="45"/>
      <c r="Z158" s="45" t="s">
        <v>1</v>
      </c>
      <c r="AA158" s="45"/>
      <c r="AB158" s="67"/>
      <c r="AC158" s="45"/>
      <c r="AD158" s="45"/>
      <c r="AE158" s="61"/>
      <c r="AF158" s="45" t="s">
        <v>1</v>
      </c>
      <c r="AG158" s="45"/>
      <c r="AH158" s="67"/>
      <c r="AI158" s="45"/>
      <c r="AJ158" s="38" t="s">
        <v>1</v>
      </c>
      <c r="AK158" s="45"/>
      <c r="AL158" s="67"/>
      <c r="AM158" s="45"/>
      <c r="AN158" s="45" t="s">
        <v>1</v>
      </c>
      <c r="AP158" s="67"/>
      <c r="AQ158" s="38"/>
      <c r="AS158" s="61"/>
      <c r="AT158" s="45" t="s">
        <v>1</v>
      </c>
      <c r="AU158" s="45"/>
      <c r="AV158" s="67"/>
      <c r="AW158" s="45"/>
      <c r="AX158" s="38" t="s">
        <v>1</v>
      </c>
      <c r="AY158" s="45"/>
      <c r="AZ158" s="67"/>
      <c r="BA158" s="45"/>
      <c r="BB158" s="45"/>
      <c r="BC158" s="45" t="s">
        <v>1</v>
      </c>
      <c r="BD158" s="67"/>
    </row>
    <row r="159" spans="3:56" ht="12" customHeight="1" x14ac:dyDescent="0.2">
      <c r="C159" s="61"/>
      <c r="D159" s="45" t="s">
        <v>2</v>
      </c>
      <c r="E159" s="45"/>
      <c r="F159" s="67"/>
      <c r="G159" s="45"/>
      <c r="H159" s="38" t="s">
        <v>2</v>
      </c>
      <c r="I159" s="45"/>
      <c r="J159" s="67"/>
      <c r="K159" s="45"/>
      <c r="L159" s="45" t="s">
        <v>2</v>
      </c>
      <c r="M159" s="45"/>
      <c r="N159" s="67"/>
      <c r="O159" s="45"/>
      <c r="P159" s="45"/>
      <c r="Q159" s="61"/>
      <c r="R159" s="45" t="s">
        <v>2</v>
      </c>
      <c r="S159" s="45"/>
      <c r="T159" s="67"/>
      <c r="U159" s="45"/>
      <c r="V159" s="38" t="s">
        <v>2</v>
      </c>
      <c r="W159" s="45">
        <v>1</v>
      </c>
      <c r="X159" s="67"/>
      <c r="Y159" s="45"/>
      <c r="Z159" s="45" t="s">
        <v>2</v>
      </c>
      <c r="AA159" s="45"/>
      <c r="AB159" s="67"/>
      <c r="AC159" s="45"/>
      <c r="AD159" s="45"/>
      <c r="AE159" s="61"/>
      <c r="AF159" s="45" t="s">
        <v>2</v>
      </c>
      <c r="AG159" s="45"/>
      <c r="AH159" s="67"/>
      <c r="AI159" s="45"/>
      <c r="AJ159" s="38" t="s">
        <v>2</v>
      </c>
      <c r="AK159" s="45"/>
      <c r="AL159" s="67"/>
      <c r="AM159" s="45"/>
      <c r="AN159" s="45" t="s">
        <v>2</v>
      </c>
      <c r="AP159" s="67"/>
      <c r="AQ159" s="38"/>
      <c r="AS159" s="61"/>
      <c r="AT159" s="45" t="s">
        <v>2</v>
      </c>
      <c r="AU159" s="45"/>
      <c r="AV159" s="67"/>
      <c r="AW159" s="45"/>
      <c r="AX159" s="38" t="s">
        <v>2</v>
      </c>
      <c r="AY159" s="45"/>
      <c r="AZ159" s="67"/>
      <c r="BA159" s="45"/>
      <c r="BB159" s="45"/>
      <c r="BC159" s="45" t="s">
        <v>2</v>
      </c>
      <c r="BD159" s="67"/>
    </row>
    <row r="160" spans="3:56" ht="12" customHeight="1" x14ac:dyDescent="0.2">
      <c r="C160" s="70"/>
      <c r="D160" s="49" t="s">
        <v>3</v>
      </c>
      <c r="E160" s="49"/>
      <c r="F160" s="71"/>
      <c r="G160" s="49"/>
      <c r="H160" s="39" t="s">
        <v>3</v>
      </c>
      <c r="I160" s="49"/>
      <c r="J160" s="71"/>
      <c r="K160" s="49"/>
      <c r="L160" s="49" t="s">
        <v>3</v>
      </c>
      <c r="M160" s="49"/>
      <c r="N160" s="71"/>
      <c r="O160" s="45"/>
      <c r="P160" s="45"/>
      <c r="Q160" s="70"/>
      <c r="R160" s="49" t="s">
        <v>3</v>
      </c>
      <c r="S160" s="49"/>
      <c r="T160" s="71"/>
      <c r="U160" s="49"/>
      <c r="V160" s="39" t="s">
        <v>3</v>
      </c>
      <c r="W160" s="49"/>
      <c r="X160" s="71"/>
      <c r="Y160" s="49"/>
      <c r="Z160" s="49" t="s">
        <v>3</v>
      </c>
      <c r="AA160" s="49"/>
      <c r="AB160" s="71"/>
      <c r="AC160" s="45"/>
      <c r="AD160" s="45"/>
      <c r="AE160" s="70"/>
      <c r="AF160" s="49" t="s">
        <v>3</v>
      </c>
      <c r="AG160" s="49"/>
      <c r="AH160" s="71"/>
      <c r="AI160" s="49"/>
      <c r="AJ160" s="39" t="s">
        <v>3</v>
      </c>
      <c r="AK160" s="49"/>
      <c r="AL160" s="71"/>
      <c r="AM160" s="70"/>
      <c r="AN160" s="49" t="s">
        <v>3</v>
      </c>
      <c r="AP160" s="71"/>
      <c r="AQ160" s="38"/>
      <c r="AS160" s="70"/>
      <c r="AT160" s="49" t="s">
        <v>3</v>
      </c>
      <c r="AU160" s="49"/>
      <c r="AV160" s="71"/>
      <c r="AW160" s="49"/>
      <c r="AX160" s="39" t="s">
        <v>3</v>
      </c>
      <c r="AY160" s="49"/>
      <c r="AZ160" s="71"/>
      <c r="BA160" s="49"/>
      <c r="BB160" s="49"/>
      <c r="BC160" s="49" t="s">
        <v>3</v>
      </c>
      <c r="BD160" s="71"/>
    </row>
    <row r="161" spans="3:56" ht="12" customHeight="1" x14ac:dyDescent="0.2">
      <c r="C161" s="61"/>
      <c r="D161" s="45" t="s">
        <v>0</v>
      </c>
      <c r="E161" s="67"/>
      <c r="F161" s="45" t="s">
        <v>0</v>
      </c>
      <c r="G161" s="45"/>
      <c r="H161" s="67"/>
      <c r="I161" s="45" t="s">
        <v>0</v>
      </c>
      <c r="J161" s="45"/>
      <c r="K161" s="67"/>
      <c r="L161" s="45" t="s">
        <v>0</v>
      </c>
      <c r="M161" s="45"/>
      <c r="N161" s="67"/>
      <c r="O161" s="45"/>
      <c r="P161" s="45"/>
      <c r="Q161" s="61"/>
      <c r="R161" s="45" t="s">
        <v>0</v>
      </c>
      <c r="S161" s="67"/>
      <c r="T161" s="45" t="s">
        <v>0</v>
      </c>
      <c r="U161" s="45"/>
      <c r="V161" s="67"/>
      <c r="W161" s="45" t="s">
        <v>0</v>
      </c>
      <c r="X161" s="45"/>
      <c r="Y161" s="67"/>
      <c r="Z161" s="45" t="s">
        <v>0</v>
      </c>
      <c r="AA161" s="45"/>
      <c r="AB161" s="67"/>
      <c r="AC161" s="45"/>
      <c r="AD161" s="45"/>
      <c r="AE161" s="61"/>
      <c r="AF161" s="45" t="s">
        <v>0</v>
      </c>
      <c r="AG161" s="67"/>
      <c r="AH161" s="45" t="s">
        <v>0</v>
      </c>
      <c r="AI161" s="45"/>
      <c r="AJ161" s="67"/>
      <c r="AK161" s="45" t="s">
        <v>0</v>
      </c>
      <c r="AL161" s="45"/>
      <c r="AM161" s="67"/>
      <c r="AN161" s="45" t="s">
        <v>0</v>
      </c>
      <c r="AP161" s="67"/>
      <c r="AQ161" s="38"/>
      <c r="AS161" s="61"/>
      <c r="AT161" s="45" t="s">
        <v>0</v>
      </c>
      <c r="AU161" s="67"/>
      <c r="AV161" s="45" t="s">
        <v>0</v>
      </c>
      <c r="AW161" s="45"/>
      <c r="AX161" s="67"/>
      <c r="AY161" s="45" t="s">
        <v>0</v>
      </c>
      <c r="AZ161" s="45"/>
      <c r="BA161" s="67"/>
      <c r="BB161" s="61"/>
      <c r="BC161" s="45" t="s">
        <v>0</v>
      </c>
      <c r="BD161" s="67"/>
    </row>
    <row r="162" spans="3:56" ht="12" customHeight="1" x14ac:dyDescent="0.2">
      <c r="C162" s="61"/>
      <c r="D162" s="45" t="s">
        <v>1</v>
      </c>
      <c r="E162" s="67"/>
      <c r="F162" s="45" t="s">
        <v>1</v>
      </c>
      <c r="G162" s="45"/>
      <c r="H162" s="67"/>
      <c r="I162" s="45" t="s">
        <v>1</v>
      </c>
      <c r="J162" s="45"/>
      <c r="K162" s="67"/>
      <c r="L162" s="45" t="s">
        <v>1</v>
      </c>
      <c r="M162" s="45"/>
      <c r="N162" s="67"/>
      <c r="O162" s="45"/>
      <c r="P162" s="45"/>
      <c r="Q162" s="61"/>
      <c r="R162" s="45" t="s">
        <v>1</v>
      </c>
      <c r="S162" s="67"/>
      <c r="T162" s="45" t="s">
        <v>1</v>
      </c>
      <c r="U162" s="45"/>
      <c r="V162" s="67"/>
      <c r="W162" s="45" t="s">
        <v>1</v>
      </c>
      <c r="X162" s="45"/>
      <c r="Y162" s="67"/>
      <c r="Z162" s="45" t="s">
        <v>1</v>
      </c>
      <c r="AA162" s="45"/>
      <c r="AB162" s="67"/>
      <c r="AC162" s="45"/>
      <c r="AD162" s="45"/>
      <c r="AE162" s="61"/>
      <c r="AF162" s="45" t="s">
        <v>1</v>
      </c>
      <c r="AG162" s="67"/>
      <c r="AH162" s="45" t="s">
        <v>1</v>
      </c>
      <c r="AI162" s="45"/>
      <c r="AJ162" s="67"/>
      <c r="AK162" s="45" t="s">
        <v>1</v>
      </c>
      <c r="AL162" s="45"/>
      <c r="AM162" s="67"/>
      <c r="AN162" s="45" t="s">
        <v>1</v>
      </c>
      <c r="AO162">
        <v>1</v>
      </c>
      <c r="AP162" s="67"/>
      <c r="AQ162" s="38"/>
      <c r="AS162" s="61"/>
      <c r="AT162" s="45" t="s">
        <v>1</v>
      </c>
      <c r="AU162" s="67"/>
      <c r="AV162" s="45" t="s">
        <v>1</v>
      </c>
      <c r="AW162" s="45"/>
      <c r="AX162" s="67"/>
      <c r="AY162" s="45" t="s">
        <v>1</v>
      </c>
      <c r="AZ162" s="45"/>
      <c r="BA162" s="67"/>
      <c r="BB162" s="61"/>
      <c r="BC162" s="45" t="s">
        <v>1</v>
      </c>
      <c r="BD162" s="67"/>
    </row>
    <row r="163" spans="3:56" ht="12" customHeight="1" x14ac:dyDescent="0.2">
      <c r="C163" s="61"/>
      <c r="D163" s="45" t="s">
        <v>2</v>
      </c>
      <c r="E163" s="67"/>
      <c r="F163" s="45" t="s">
        <v>2</v>
      </c>
      <c r="G163" s="45"/>
      <c r="H163" s="67"/>
      <c r="I163" s="45" t="s">
        <v>2</v>
      </c>
      <c r="J163" s="45"/>
      <c r="K163" s="67"/>
      <c r="L163" s="45" t="s">
        <v>2</v>
      </c>
      <c r="M163" s="45"/>
      <c r="N163" s="67"/>
      <c r="O163" s="45"/>
      <c r="P163" s="45"/>
      <c r="Q163" s="61"/>
      <c r="R163" s="45" t="s">
        <v>2</v>
      </c>
      <c r="S163" s="67"/>
      <c r="T163" s="45" t="s">
        <v>2</v>
      </c>
      <c r="U163" s="45"/>
      <c r="V163" s="67"/>
      <c r="W163" s="45" t="s">
        <v>2</v>
      </c>
      <c r="X163" s="45"/>
      <c r="Y163" s="67"/>
      <c r="Z163" s="45" t="s">
        <v>2</v>
      </c>
      <c r="AA163" s="45"/>
      <c r="AB163" s="67"/>
      <c r="AC163" s="45"/>
      <c r="AD163" s="45"/>
      <c r="AE163" s="61"/>
      <c r="AF163" s="45" t="s">
        <v>2</v>
      </c>
      <c r="AG163" s="67"/>
      <c r="AH163" s="45" t="s">
        <v>2</v>
      </c>
      <c r="AI163" s="45"/>
      <c r="AJ163" s="67"/>
      <c r="AK163" s="45" t="s">
        <v>2</v>
      </c>
      <c r="AL163" s="45"/>
      <c r="AM163" s="67"/>
      <c r="AN163" s="45" t="s">
        <v>2</v>
      </c>
      <c r="AP163" s="67"/>
      <c r="AQ163" s="38"/>
      <c r="AS163" s="61"/>
      <c r="AT163" s="45" t="s">
        <v>2</v>
      </c>
      <c r="AU163" s="67"/>
      <c r="AV163" s="45" t="s">
        <v>2</v>
      </c>
      <c r="AW163" s="45"/>
      <c r="AX163" s="67"/>
      <c r="AY163" s="45" t="s">
        <v>2</v>
      </c>
      <c r="AZ163" s="45"/>
      <c r="BA163" s="67"/>
      <c r="BB163" s="61"/>
      <c r="BC163" s="45" t="s">
        <v>2</v>
      </c>
      <c r="BD163" s="67"/>
    </row>
    <row r="164" spans="3:56" ht="12" customHeight="1" x14ac:dyDescent="0.2">
      <c r="C164" s="70"/>
      <c r="D164" s="49" t="s">
        <v>3</v>
      </c>
      <c r="E164" s="71"/>
      <c r="F164" s="49" t="s">
        <v>3</v>
      </c>
      <c r="G164" s="49"/>
      <c r="H164" s="71"/>
      <c r="I164" s="49" t="s">
        <v>3</v>
      </c>
      <c r="J164" s="49"/>
      <c r="K164" s="71"/>
      <c r="L164" s="49" t="s">
        <v>3</v>
      </c>
      <c r="M164" s="49"/>
      <c r="N164" s="71"/>
      <c r="O164" s="45"/>
      <c r="P164" s="45"/>
      <c r="Q164" s="70"/>
      <c r="R164" s="49" t="s">
        <v>3</v>
      </c>
      <c r="S164" s="71"/>
      <c r="T164" s="49" t="s">
        <v>3</v>
      </c>
      <c r="U164" s="49"/>
      <c r="V164" s="71"/>
      <c r="W164" s="49" t="s">
        <v>3</v>
      </c>
      <c r="X164" s="49"/>
      <c r="Y164" s="71"/>
      <c r="Z164" s="49" t="s">
        <v>3</v>
      </c>
      <c r="AA164" s="49"/>
      <c r="AB164" s="71"/>
      <c r="AC164" s="45"/>
      <c r="AD164" s="45"/>
      <c r="AE164" s="70"/>
      <c r="AF164" s="49" t="s">
        <v>3</v>
      </c>
      <c r="AG164" s="71"/>
      <c r="AH164" s="49" t="s">
        <v>3</v>
      </c>
      <c r="AI164" s="49"/>
      <c r="AJ164" s="71"/>
      <c r="AK164" s="49" t="s">
        <v>3</v>
      </c>
      <c r="AL164" s="49"/>
      <c r="AM164" s="71"/>
      <c r="AN164" s="49" t="s">
        <v>3</v>
      </c>
      <c r="AP164" s="71"/>
      <c r="AQ164" s="38"/>
      <c r="AS164" s="70"/>
      <c r="AT164" s="49" t="s">
        <v>3</v>
      </c>
      <c r="AU164" s="71"/>
      <c r="AV164" s="49" t="s">
        <v>3</v>
      </c>
      <c r="AW164" s="49"/>
      <c r="AX164" s="71"/>
      <c r="AY164" s="49" t="s">
        <v>3</v>
      </c>
      <c r="AZ164" s="49"/>
      <c r="BA164" s="71"/>
      <c r="BB164" s="70"/>
      <c r="BC164" s="49" t="s">
        <v>3</v>
      </c>
      <c r="BD164" s="71"/>
    </row>
    <row r="165" spans="3:56" ht="12" customHeight="1" x14ac:dyDescent="0.2"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P165" s="45"/>
      <c r="AQ165" s="38"/>
      <c r="AS165" s="45"/>
      <c r="AT165" s="45"/>
      <c r="AU165" s="45"/>
      <c r="AV165" s="45"/>
      <c r="AW165" s="45"/>
      <c r="AX165" s="45"/>
      <c r="AY165" s="45"/>
      <c r="AZ165" s="45"/>
      <c r="BA165" s="45"/>
      <c r="BB165" s="45"/>
      <c r="BC165" s="45"/>
      <c r="BD165" s="45"/>
    </row>
    <row r="166" spans="3:56" ht="12" customHeight="1" x14ac:dyDescent="0.2">
      <c r="C166" s="132" t="s">
        <v>64</v>
      </c>
      <c r="D166" s="132"/>
      <c r="E166" s="132"/>
      <c r="F166" s="132"/>
      <c r="G166" s="132"/>
      <c r="H166" s="43"/>
      <c r="I166" s="43"/>
      <c r="J166" s="43"/>
      <c r="K166" s="43"/>
      <c r="L166" s="43"/>
      <c r="M166" s="43"/>
      <c r="N166" s="43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P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</row>
    <row r="167" spans="3:56" ht="12" customHeight="1" x14ac:dyDescent="0.2">
      <c r="C167" s="133"/>
      <c r="D167" s="133"/>
      <c r="E167" s="133"/>
      <c r="F167" s="133"/>
      <c r="G167" s="133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P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</row>
    <row r="168" spans="3:56" ht="12" customHeight="1" thickBot="1" x14ac:dyDescent="0.25">
      <c r="C168" s="61"/>
      <c r="D168" s="45" t="s">
        <v>0</v>
      </c>
      <c r="E168" s="45"/>
      <c r="F168" s="62"/>
      <c r="G168" s="45"/>
      <c r="H168" s="46" t="s">
        <v>0</v>
      </c>
      <c r="I168" s="46"/>
      <c r="J168" s="63"/>
      <c r="K168" s="46"/>
      <c r="L168" s="46" t="s">
        <v>0</v>
      </c>
      <c r="M168" s="46"/>
      <c r="N168" s="64"/>
      <c r="O168" s="45"/>
      <c r="P168" s="45"/>
      <c r="Q168" s="65"/>
      <c r="R168" s="46" t="s">
        <v>0</v>
      </c>
      <c r="S168" s="46"/>
      <c r="T168" s="63"/>
      <c r="U168" s="46"/>
      <c r="V168" s="46" t="s">
        <v>0</v>
      </c>
      <c r="W168" s="46"/>
      <c r="X168" s="63"/>
      <c r="Y168" s="46"/>
      <c r="Z168" s="46" t="s">
        <v>0</v>
      </c>
      <c r="AA168" s="46"/>
      <c r="AB168" s="64"/>
      <c r="AC168" s="45"/>
      <c r="AD168" s="45"/>
      <c r="AE168" s="65"/>
      <c r="AF168" s="46" t="s">
        <v>0</v>
      </c>
      <c r="AG168" s="46"/>
      <c r="AH168" s="63"/>
      <c r="AI168" s="46"/>
      <c r="AJ168" s="46" t="s">
        <v>0</v>
      </c>
      <c r="AK168" s="46"/>
      <c r="AL168" s="63"/>
      <c r="AM168" s="81"/>
      <c r="AN168" s="46" t="s">
        <v>0</v>
      </c>
      <c r="AP168" s="64"/>
      <c r="AS168" s="65"/>
      <c r="AT168" s="46" t="s">
        <v>0</v>
      </c>
      <c r="AU168" s="46"/>
      <c r="AV168" s="63"/>
      <c r="AW168" s="46"/>
      <c r="AX168" s="46" t="s">
        <v>0</v>
      </c>
      <c r="AY168" s="46"/>
      <c r="AZ168" s="63"/>
      <c r="BA168" s="81"/>
      <c r="BB168" s="46"/>
      <c r="BC168" s="46" t="s">
        <v>0</v>
      </c>
      <c r="BD168" s="64"/>
    </row>
    <row r="169" spans="3:56" ht="12" customHeight="1" x14ac:dyDescent="0.2">
      <c r="C169" s="61"/>
      <c r="D169" s="45" t="s">
        <v>1</v>
      </c>
      <c r="E169" s="45"/>
      <c r="F169" s="62"/>
      <c r="G169" s="47"/>
      <c r="H169" s="47" t="s">
        <v>1</v>
      </c>
      <c r="I169" s="47"/>
      <c r="J169" s="66"/>
      <c r="K169" s="45"/>
      <c r="L169" s="45" t="s">
        <v>1</v>
      </c>
      <c r="M169" s="45"/>
      <c r="N169" s="67"/>
      <c r="O169" s="45"/>
      <c r="P169" s="45"/>
      <c r="Q169" s="61"/>
      <c r="R169" s="45" t="s">
        <v>1</v>
      </c>
      <c r="S169" s="45"/>
      <c r="T169" s="62"/>
      <c r="U169" s="47"/>
      <c r="V169" s="47" t="s">
        <v>1</v>
      </c>
      <c r="W169" s="47"/>
      <c r="X169" s="66"/>
      <c r="Y169" s="45"/>
      <c r="Z169" s="45" t="s">
        <v>1</v>
      </c>
      <c r="AA169" s="45"/>
      <c r="AB169" s="67"/>
      <c r="AC169" s="45"/>
      <c r="AD169" s="45"/>
      <c r="AE169" s="61"/>
      <c r="AF169" s="45" t="s">
        <v>1</v>
      </c>
      <c r="AG169" s="45"/>
      <c r="AH169" s="62"/>
      <c r="AI169" s="47"/>
      <c r="AJ169" s="47" t="s">
        <v>1</v>
      </c>
      <c r="AK169" s="47"/>
      <c r="AL169" s="66"/>
      <c r="AM169" s="82"/>
      <c r="AN169" s="45" t="s">
        <v>1</v>
      </c>
      <c r="AP169" s="67"/>
      <c r="AS169" s="61"/>
      <c r="AT169" s="45" t="s">
        <v>1</v>
      </c>
      <c r="AU169" s="45"/>
      <c r="AV169" s="62"/>
      <c r="AW169" s="47"/>
      <c r="AX169" s="47" t="s">
        <v>1</v>
      </c>
      <c r="AY169" s="47"/>
      <c r="AZ169" s="66"/>
      <c r="BA169" s="82"/>
      <c r="BB169" s="45"/>
      <c r="BC169" s="45" t="s">
        <v>1</v>
      </c>
      <c r="BD169" s="67"/>
    </row>
    <row r="170" spans="3:56" ht="12" customHeight="1" x14ac:dyDescent="0.2">
      <c r="C170" s="61"/>
      <c r="D170" s="45" t="s">
        <v>2</v>
      </c>
      <c r="E170" s="45"/>
      <c r="F170" s="62"/>
      <c r="G170" s="45"/>
      <c r="H170" s="45" t="s">
        <v>2</v>
      </c>
      <c r="I170" s="45"/>
      <c r="J170" s="62"/>
      <c r="K170" s="45"/>
      <c r="L170" s="45" t="s">
        <v>2</v>
      </c>
      <c r="M170" s="45"/>
      <c r="N170" s="67"/>
      <c r="O170" s="45"/>
      <c r="P170" s="45"/>
      <c r="Q170" s="61"/>
      <c r="R170" s="45" t="s">
        <v>2</v>
      </c>
      <c r="S170" s="45"/>
      <c r="T170" s="62"/>
      <c r="U170" s="45"/>
      <c r="V170" s="45" t="s">
        <v>2</v>
      </c>
      <c r="W170" s="45"/>
      <c r="X170" s="62"/>
      <c r="Y170" s="45"/>
      <c r="Z170" s="45" t="s">
        <v>2</v>
      </c>
      <c r="AA170" s="45"/>
      <c r="AB170" s="67"/>
      <c r="AC170" s="45"/>
      <c r="AD170" s="45"/>
      <c r="AE170" s="61"/>
      <c r="AF170" s="45" t="s">
        <v>2</v>
      </c>
      <c r="AG170" s="45"/>
      <c r="AH170" s="62"/>
      <c r="AI170" s="45"/>
      <c r="AJ170" s="45" t="s">
        <v>2</v>
      </c>
      <c r="AK170" s="45"/>
      <c r="AL170" s="62"/>
      <c r="AM170" s="82"/>
      <c r="AN170" s="45" t="s">
        <v>2</v>
      </c>
      <c r="AP170" s="67"/>
      <c r="AS170" s="61"/>
      <c r="AT170" s="45" t="s">
        <v>2</v>
      </c>
      <c r="AU170" s="45"/>
      <c r="AV170" s="62"/>
      <c r="AW170" s="45"/>
      <c r="AX170" s="45" t="s">
        <v>2</v>
      </c>
      <c r="AY170" s="45"/>
      <c r="AZ170" s="62"/>
      <c r="BA170" s="82"/>
      <c r="BB170" s="45"/>
      <c r="BC170" s="45" t="s">
        <v>2</v>
      </c>
      <c r="BD170" s="67"/>
    </row>
    <row r="171" spans="3:56" ht="12" customHeight="1" thickBot="1" x14ac:dyDescent="0.25">
      <c r="C171" s="61"/>
      <c r="D171" s="45" t="s">
        <v>3</v>
      </c>
      <c r="E171" s="45"/>
      <c r="F171" s="68"/>
      <c r="G171" s="48"/>
      <c r="H171" s="48" t="s">
        <v>3</v>
      </c>
      <c r="I171" s="48"/>
      <c r="J171" s="69"/>
      <c r="K171" s="45"/>
      <c r="L171" s="45" t="s">
        <v>3</v>
      </c>
      <c r="M171" s="45"/>
      <c r="N171" s="67"/>
      <c r="O171" s="45"/>
      <c r="P171" s="45"/>
      <c r="Q171" s="61"/>
      <c r="R171" s="45" t="s">
        <v>3</v>
      </c>
      <c r="S171" s="45"/>
      <c r="T171" s="68"/>
      <c r="U171" s="48"/>
      <c r="V171" s="48" t="s">
        <v>3</v>
      </c>
      <c r="W171" s="48"/>
      <c r="X171" s="69"/>
      <c r="Y171" s="45"/>
      <c r="Z171" s="45" t="s">
        <v>3</v>
      </c>
      <c r="AA171" s="45"/>
      <c r="AB171" s="67"/>
      <c r="AC171" s="45"/>
      <c r="AD171" s="45"/>
      <c r="AE171" s="61"/>
      <c r="AF171" s="45" t="s">
        <v>3</v>
      </c>
      <c r="AG171" s="45"/>
      <c r="AH171" s="68"/>
      <c r="AI171" s="48"/>
      <c r="AJ171" s="48" t="s">
        <v>3</v>
      </c>
      <c r="AK171" s="48"/>
      <c r="AL171" s="69"/>
      <c r="AM171" s="83"/>
      <c r="AN171" s="45" t="s">
        <v>3</v>
      </c>
      <c r="AP171" s="67"/>
      <c r="AS171" s="61"/>
      <c r="AT171" s="45" t="s">
        <v>3</v>
      </c>
      <c r="AU171" s="45"/>
      <c r="AV171" s="68"/>
      <c r="AW171" s="48"/>
      <c r="AX171" s="48" t="s">
        <v>3</v>
      </c>
      <c r="AY171" s="48"/>
      <c r="AZ171" s="69"/>
      <c r="BA171" s="83"/>
      <c r="BB171" s="45"/>
      <c r="BC171" s="45" t="s">
        <v>3</v>
      </c>
      <c r="BD171" s="67"/>
    </row>
    <row r="172" spans="3:56" ht="12" customHeight="1" x14ac:dyDescent="0.2">
      <c r="C172" s="65"/>
      <c r="D172" s="46" t="s">
        <v>0</v>
      </c>
      <c r="E172" s="46"/>
      <c r="F172" s="67"/>
      <c r="G172" s="45"/>
      <c r="H172" s="40" t="s">
        <v>0</v>
      </c>
      <c r="I172" s="45"/>
      <c r="J172" s="62"/>
      <c r="K172" s="46"/>
      <c r="L172" s="46" t="s">
        <v>0</v>
      </c>
      <c r="M172" s="46"/>
      <c r="N172" s="64"/>
      <c r="O172" s="45"/>
      <c r="P172" s="45"/>
      <c r="Q172" s="65"/>
      <c r="R172" s="46" t="s">
        <v>0</v>
      </c>
      <c r="S172" s="46"/>
      <c r="T172" s="67"/>
      <c r="U172" s="45"/>
      <c r="V172" s="40" t="s">
        <v>0</v>
      </c>
      <c r="W172" s="45"/>
      <c r="X172" s="62"/>
      <c r="Y172" s="46"/>
      <c r="Z172" s="46" t="s">
        <v>0</v>
      </c>
      <c r="AA172" s="46"/>
      <c r="AB172" s="64"/>
      <c r="AC172" s="45"/>
      <c r="AD172" s="45"/>
      <c r="AE172" s="65"/>
      <c r="AF172" s="46" t="s">
        <v>0</v>
      </c>
      <c r="AG172" s="46"/>
      <c r="AH172" s="67"/>
      <c r="AI172" s="45"/>
      <c r="AJ172" s="40" t="s">
        <v>0</v>
      </c>
      <c r="AK172" s="45"/>
      <c r="AL172" s="62"/>
      <c r="AM172" s="46"/>
      <c r="AN172" s="46" t="s">
        <v>0</v>
      </c>
      <c r="AP172" s="64"/>
      <c r="AS172" s="65"/>
      <c r="AT172" s="46" t="s">
        <v>0</v>
      </c>
      <c r="AU172" s="46"/>
      <c r="AV172" s="67"/>
      <c r="AW172" s="45"/>
      <c r="AX172" s="40" t="s">
        <v>0</v>
      </c>
      <c r="AY172" s="45"/>
      <c r="AZ172" s="62"/>
      <c r="BA172" s="46"/>
      <c r="BB172" s="46"/>
      <c r="BC172" s="46" t="s">
        <v>0</v>
      </c>
      <c r="BD172" s="64"/>
    </row>
    <row r="173" spans="3:56" ht="12" customHeight="1" x14ac:dyDescent="0.2">
      <c r="C173" s="61"/>
      <c r="D173" s="45" t="s">
        <v>1</v>
      </c>
      <c r="E173" s="45"/>
      <c r="F173" s="67"/>
      <c r="G173" s="45"/>
      <c r="H173" s="38" t="s">
        <v>1</v>
      </c>
      <c r="I173" s="45"/>
      <c r="J173" s="67"/>
      <c r="K173" s="45"/>
      <c r="L173" s="45" t="s">
        <v>1</v>
      </c>
      <c r="M173" s="45"/>
      <c r="N173" s="67"/>
      <c r="O173" s="45"/>
      <c r="P173" s="45"/>
      <c r="Q173" s="61"/>
      <c r="R173" s="45" t="s">
        <v>1</v>
      </c>
      <c r="S173" s="45"/>
      <c r="T173" s="67"/>
      <c r="U173" s="45"/>
      <c r="V173" s="38" t="s">
        <v>1</v>
      </c>
      <c r="W173" s="45"/>
      <c r="X173" s="67"/>
      <c r="Y173" s="45"/>
      <c r="Z173" s="45" t="s">
        <v>1</v>
      </c>
      <c r="AA173" s="45"/>
      <c r="AB173" s="67"/>
      <c r="AC173" s="45"/>
      <c r="AD173" s="45"/>
      <c r="AE173" s="61"/>
      <c r="AF173" s="45" t="s">
        <v>1</v>
      </c>
      <c r="AG173" s="45"/>
      <c r="AH173" s="67"/>
      <c r="AI173" s="45"/>
      <c r="AJ173" s="38" t="s">
        <v>1</v>
      </c>
      <c r="AK173" s="45"/>
      <c r="AL173" s="67"/>
      <c r="AM173" s="45"/>
      <c r="AN173" s="45" t="s">
        <v>1</v>
      </c>
      <c r="AP173" s="67"/>
      <c r="AS173" s="61"/>
      <c r="AT173" s="45" t="s">
        <v>1</v>
      </c>
      <c r="AU173" s="45"/>
      <c r="AV173" s="67"/>
      <c r="AW173" s="45"/>
      <c r="AX173" s="38" t="s">
        <v>1</v>
      </c>
      <c r="AY173" s="45"/>
      <c r="AZ173" s="67"/>
      <c r="BA173" s="45"/>
      <c r="BB173" s="45"/>
      <c r="BC173" s="45" t="s">
        <v>1</v>
      </c>
      <c r="BD173" s="67"/>
    </row>
    <row r="174" spans="3:56" ht="12" customHeight="1" x14ac:dyDescent="0.2">
      <c r="C174" s="61"/>
      <c r="D174" s="45" t="s">
        <v>2</v>
      </c>
      <c r="E174" s="45"/>
      <c r="F174" s="67"/>
      <c r="G174" s="45"/>
      <c r="H174" s="38" t="s">
        <v>2</v>
      </c>
      <c r="I174" s="45"/>
      <c r="J174" s="67"/>
      <c r="K174" s="45"/>
      <c r="L174" s="45" t="s">
        <v>2</v>
      </c>
      <c r="M174" s="45"/>
      <c r="N174" s="67"/>
      <c r="O174" s="45"/>
      <c r="P174" s="45"/>
      <c r="Q174" s="61"/>
      <c r="R174" s="45" t="s">
        <v>2</v>
      </c>
      <c r="S174" s="45"/>
      <c r="T174" s="67"/>
      <c r="U174" s="45"/>
      <c r="V174" s="38" t="s">
        <v>2</v>
      </c>
      <c r="W174" s="45"/>
      <c r="X174" s="67"/>
      <c r="Y174" s="45"/>
      <c r="Z174" s="45" t="s">
        <v>2</v>
      </c>
      <c r="AA174" s="45"/>
      <c r="AB174" s="67"/>
      <c r="AC174" s="45"/>
      <c r="AD174" s="45"/>
      <c r="AE174" s="61"/>
      <c r="AF174" s="45" t="s">
        <v>2</v>
      </c>
      <c r="AG174" s="45"/>
      <c r="AH174" s="67"/>
      <c r="AI174" s="45"/>
      <c r="AJ174" s="38" t="s">
        <v>2</v>
      </c>
      <c r="AK174" s="45"/>
      <c r="AL174" s="67"/>
      <c r="AM174" s="45"/>
      <c r="AN174" s="45" t="s">
        <v>2</v>
      </c>
      <c r="AP174" s="67"/>
      <c r="AS174" s="61"/>
      <c r="AT174" s="45" t="s">
        <v>2</v>
      </c>
      <c r="AU174" s="45"/>
      <c r="AV174" s="67"/>
      <c r="AW174" s="45"/>
      <c r="AX174" s="38" t="s">
        <v>2</v>
      </c>
      <c r="AY174" s="45"/>
      <c r="AZ174" s="67"/>
      <c r="BA174" s="45"/>
      <c r="BB174" s="45"/>
      <c r="BC174" s="45" t="s">
        <v>2</v>
      </c>
      <c r="BD174" s="67"/>
    </row>
    <row r="175" spans="3:56" ht="12" customHeight="1" x14ac:dyDescent="0.2">
      <c r="C175" s="70"/>
      <c r="D175" s="49" t="s">
        <v>3</v>
      </c>
      <c r="E175" s="49"/>
      <c r="F175" s="71"/>
      <c r="G175" s="49"/>
      <c r="H175" s="39" t="s">
        <v>3</v>
      </c>
      <c r="I175" s="49"/>
      <c r="J175" s="71"/>
      <c r="K175" s="49"/>
      <c r="L175" s="49" t="s">
        <v>3</v>
      </c>
      <c r="M175" s="49"/>
      <c r="N175" s="71"/>
      <c r="O175" s="45"/>
      <c r="P175" s="45"/>
      <c r="Q175" s="70"/>
      <c r="R175" s="49" t="s">
        <v>3</v>
      </c>
      <c r="S175" s="49"/>
      <c r="T175" s="71"/>
      <c r="U175" s="49"/>
      <c r="V175" s="39" t="s">
        <v>3</v>
      </c>
      <c r="W175" s="49"/>
      <c r="X175" s="71"/>
      <c r="Y175" s="49"/>
      <c r="Z175" s="49" t="s">
        <v>3</v>
      </c>
      <c r="AA175" s="49"/>
      <c r="AB175" s="71"/>
      <c r="AC175" s="45"/>
      <c r="AD175" s="45"/>
      <c r="AE175" s="70"/>
      <c r="AF175" s="49" t="s">
        <v>3</v>
      </c>
      <c r="AG175" s="49"/>
      <c r="AH175" s="71"/>
      <c r="AI175" s="49"/>
      <c r="AJ175" s="39" t="s">
        <v>3</v>
      </c>
      <c r="AK175" s="49"/>
      <c r="AL175" s="71"/>
      <c r="AM175" s="49"/>
      <c r="AN175" s="49" t="s">
        <v>3</v>
      </c>
      <c r="AP175" s="71"/>
      <c r="AS175" s="70"/>
      <c r="AT175" s="49" t="s">
        <v>3</v>
      </c>
      <c r="AU175" s="49"/>
      <c r="AV175" s="71"/>
      <c r="AW175" s="49"/>
      <c r="AX175" s="39" t="s">
        <v>3</v>
      </c>
      <c r="AY175" s="49"/>
      <c r="AZ175" s="71"/>
      <c r="BA175" s="49"/>
      <c r="BB175" s="49"/>
      <c r="BC175" s="49" t="s">
        <v>3</v>
      </c>
      <c r="BD175" s="71"/>
    </row>
    <row r="176" spans="3:56" ht="12" customHeight="1" x14ac:dyDescent="0.2">
      <c r="C176" s="61"/>
      <c r="D176" s="45" t="s">
        <v>0</v>
      </c>
      <c r="E176" s="67"/>
      <c r="F176" s="45" t="s">
        <v>0</v>
      </c>
      <c r="G176" s="45"/>
      <c r="H176" s="67"/>
      <c r="I176" s="45" t="s">
        <v>0</v>
      </c>
      <c r="J176" s="45"/>
      <c r="K176" s="67"/>
      <c r="L176" s="45" t="s">
        <v>0</v>
      </c>
      <c r="M176" s="45"/>
      <c r="N176" s="67"/>
      <c r="O176" s="45"/>
      <c r="P176" s="45"/>
      <c r="Q176" s="61"/>
      <c r="R176" s="45" t="s">
        <v>0</v>
      </c>
      <c r="S176" s="67"/>
      <c r="T176" s="45" t="s">
        <v>0</v>
      </c>
      <c r="U176" s="45"/>
      <c r="V176" s="67"/>
      <c r="W176" s="45" t="s">
        <v>0</v>
      </c>
      <c r="X176" s="45"/>
      <c r="Y176" s="67"/>
      <c r="Z176" s="45" t="s">
        <v>0</v>
      </c>
      <c r="AA176" s="45"/>
      <c r="AB176" s="67"/>
      <c r="AC176" s="45"/>
      <c r="AD176" s="45"/>
      <c r="AE176" s="61"/>
      <c r="AF176" s="45" t="s">
        <v>0</v>
      </c>
      <c r="AG176" s="67"/>
      <c r="AH176" s="45" t="s">
        <v>0</v>
      </c>
      <c r="AI176" s="45"/>
      <c r="AJ176" s="67"/>
      <c r="AK176" s="45" t="s">
        <v>0</v>
      </c>
      <c r="AL176" s="45"/>
      <c r="AM176" s="67"/>
      <c r="AN176" s="45" t="s">
        <v>0</v>
      </c>
      <c r="AP176" s="67"/>
      <c r="AS176" s="61"/>
      <c r="AT176" s="45" t="s">
        <v>0</v>
      </c>
      <c r="AU176" s="67"/>
      <c r="AV176" s="45" t="s">
        <v>0</v>
      </c>
      <c r="AW176" s="45"/>
      <c r="AX176" s="67"/>
      <c r="AY176" s="45" t="s">
        <v>0</v>
      </c>
      <c r="AZ176" s="45"/>
      <c r="BA176" s="67"/>
      <c r="BB176" s="61"/>
      <c r="BC176" s="45" t="s">
        <v>0</v>
      </c>
      <c r="BD176" s="67"/>
    </row>
    <row r="177" spans="3:56" ht="12" customHeight="1" x14ac:dyDescent="0.2">
      <c r="C177" s="61"/>
      <c r="D177" s="45" t="s">
        <v>1</v>
      </c>
      <c r="E177" s="67"/>
      <c r="F177" s="45" t="s">
        <v>1</v>
      </c>
      <c r="G177" s="45"/>
      <c r="H177" s="67"/>
      <c r="I177" s="45" t="s">
        <v>1</v>
      </c>
      <c r="J177" s="45"/>
      <c r="K177" s="67"/>
      <c r="L177" s="45" t="s">
        <v>1</v>
      </c>
      <c r="M177" s="45"/>
      <c r="N177" s="67"/>
      <c r="O177" s="45"/>
      <c r="P177" s="45"/>
      <c r="Q177" s="61"/>
      <c r="R177" s="45" t="s">
        <v>1</v>
      </c>
      <c r="S177" s="67"/>
      <c r="T177" s="45" t="s">
        <v>1</v>
      </c>
      <c r="U177" s="45"/>
      <c r="V177" s="67"/>
      <c r="W177" s="45" t="s">
        <v>1</v>
      </c>
      <c r="X177" s="45"/>
      <c r="Y177" s="67"/>
      <c r="Z177" s="45" t="s">
        <v>1</v>
      </c>
      <c r="AA177" s="45"/>
      <c r="AB177" s="67"/>
      <c r="AC177" s="45"/>
      <c r="AD177" s="45"/>
      <c r="AE177" s="61"/>
      <c r="AF177" s="45" t="s">
        <v>1</v>
      </c>
      <c r="AG177" s="67"/>
      <c r="AH177" s="45" t="s">
        <v>1</v>
      </c>
      <c r="AI177" s="45"/>
      <c r="AJ177" s="67"/>
      <c r="AK177" s="45" t="s">
        <v>1</v>
      </c>
      <c r="AL177" s="45"/>
      <c r="AM177" s="67"/>
      <c r="AN177" s="45" t="s">
        <v>1</v>
      </c>
      <c r="AP177" s="67"/>
      <c r="AS177" s="61"/>
      <c r="AT177" s="45" t="s">
        <v>1</v>
      </c>
      <c r="AU177" s="67"/>
      <c r="AV177" s="45" t="s">
        <v>1</v>
      </c>
      <c r="AW177" s="45"/>
      <c r="AX177" s="67"/>
      <c r="AY177" s="45" t="s">
        <v>1</v>
      </c>
      <c r="AZ177" s="45"/>
      <c r="BA177" s="67"/>
      <c r="BB177" s="61"/>
      <c r="BC177" s="45" t="s">
        <v>1</v>
      </c>
      <c r="BD177" s="67"/>
    </row>
    <row r="178" spans="3:56" ht="12" customHeight="1" x14ac:dyDescent="0.2">
      <c r="C178" s="61"/>
      <c r="D178" s="45" t="s">
        <v>2</v>
      </c>
      <c r="E178" s="67"/>
      <c r="F178" s="45" t="s">
        <v>2</v>
      </c>
      <c r="G178" s="45"/>
      <c r="H178" s="67"/>
      <c r="I178" s="45" t="s">
        <v>2</v>
      </c>
      <c r="J178" s="45"/>
      <c r="K178" s="67"/>
      <c r="L178" s="45" t="s">
        <v>2</v>
      </c>
      <c r="M178" s="45"/>
      <c r="N178" s="67"/>
      <c r="O178" s="45"/>
      <c r="P178" s="45"/>
      <c r="Q178" s="61"/>
      <c r="R178" s="45" t="s">
        <v>2</v>
      </c>
      <c r="S178" s="67"/>
      <c r="T178" s="45" t="s">
        <v>2</v>
      </c>
      <c r="U178" s="45"/>
      <c r="V178" s="67"/>
      <c r="W178" s="45" t="s">
        <v>2</v>
      </c>
      <c r="X178" s="45"/>
      <c r="Y178" s="67"/>
      <c r="Z178" s="45" t="s">
        <v>2</v>
      </c>
      <c r="AA178" s="45"/>
      <c r="AB178" s="67"/>
      <c r="AC178" s="45"/>
      <c r="AD178" s="45"/>
      <c r="AE178" s="61"/>
      <c r="AF178" s="45" t="s">
        <v>2</v>
      </c>
      <c r="AG178" s="67"/>
      <c r="AH178" s="45" t="s">
        <v>2</v>
      </c>
      <c r="AI178" s="45"/>
      <c r="AJ178" s="67"/>
      <c r="AK178" s="45" t="s">
        <v>2</v>
      </c>
      <c r="AL178" s="45"/>
      <c r="AM178" s="67"/>
      <c r="AN178" s="45" t="s">
        <v>2</v>
      </c>
      <c r="AP178" s="67"/>
      <c r="AS178" s="61"/>
      <c r="AT178" s="45" t="s">
        <v>2</v>
      </c>
      <c r="AU178" s="67"/>
      <c r="AV178" s="45" t="s">
        <v>2</v>
      </c>
      <c r="AW178" s="45"/>
      <c r="AX178" s="67"/>
      <c r="AY178" s="45" t="s">
        <v>2</v>
      </c>
      <c r="AZ178" s="45"/>
      <c r="BA178" s="67"/>
      <c r="BB178" s="61"/>
      <c r="BC178" s="45" t="s">
        <v>2</v>
      </c>
      <c r="BD178" s="67"/>
    </row>
    <row r="179" spans="3:56" ht="12" customHeight="1" x14ac:dyDescent="0.2">
      <c r="C179" s="70"/>
      <c r="D179" s="49" t="s">
        <v>3</v>
      </c>
      <c r="E179" s="71"/>
      <c r="F179" s="49" t="s">
        <v>3</v>
      </c>
      <c r="G179" s="49"/>
      <c r="H179" s="71"/>
      <c r="I179" s="49" t="s">
        <v>3</v>
      </c>
      <c r="J179" s="49"/>
      <c r="K179" s="71"/>
      <c r="L179" s="49" t="s">
        <v>3</v>
      </c>
      <c r="M179" s="49"/>
      <c r="N179" s="71"/>
      <c r="O179" s="45"/>
      <c r="P179" s="45"/>
      <c r="Q179" s="70"/>
      <c r="R179" s="49" t="s">
        <v>3</v>
      </c>
      <c r="S179" s="71"/>
      <c r="T179" s="49" t="s">
        <v>3</v>
      </c>
      <c r="U179" s="49"/>
      <c r="V179" s="71"/>
      <c r="W179" s="49" t="s">
        <v>3</v>
      </c>
      <c r="X179" s="49"/>
      <c r="Y179" s="71"/>
      <c r="Z179" s="49" t="s">
        <v>3</v>
      </c>
      <c r="AA179" s="49"/>
      <c r="AB179" s="71"/>
      <c r="AC179" s="45"/>
      <c r="AD179" s="45"/>
      <c r="AE179" s="70"/>
      <c r="AF179" s="49" t="s">
        <v>3</v>
      </c>
      <c r="AG179" s="71"/>
      <c r="AH179" s="49" t="s">
        <v>3</v>
      </c>
      <c r="AI179" s="49"/>
      <c r="AJ179" s="71"/>
      <c r="AK179" s="49" t="s">
        <v>3</v>
      </c>
      <c r="AL179" s="49"/>
      <c r="AM179" s="71"/>
      <c r="AN179" s="49" t="s">
        <v>3</v>
      </c>
      <c r="AP179" s="71"/>
      <c r="AS179" s="70"/>
      <c r="AT179" s="49" t="s">
        <v>3</v>
      </c>
      <c r="AU179" s="71"/>
      <c r="AV179" s="49" t="s">
        <v>3</v>
      </c>
      <c r="AW179" s="49"/>
      <c r="AX179" s="71"/>
      <c r="AY179" s="49" t="s">
        <v>3</v>
      </c>
      <c r="AZ179" s="49"/>
      <c r="BA179" s="71"/>
      <c r="BB179" s="70"/>
      <c r="BC179" s="49" t="s">
        <v>3</v>
      </c>
      <c r="BD179" s="71"/>
    </row>
    <row r="181" spans="3:56" ht="12" customHeight="1" x14ac:dyDescent="0.2">
      <c r="C181" s="132" t="s">
        <v>134</v>
      </c>
      <c r="D181" s="132"/>
      <c r="E181" s="132"/>
      <c r="F181" s="132"/>
      <c r="G181" s="132"/>
      <c r="H181" s="43"/>
      <c r="I181" s="43"/>
      <c r="J181" s="43"/>
      <c r="K181" s="43"/>
      <c r="L181" s="43"/>
      <c r="M181" s="43"/>
      <c r="N181" s="43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P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</row>
    <row r="182" spans="3:56" ht="12" customHeight="1" x14ac:dyDescent="0.2">
      <c r="C182" s="133"/>
      <c r="D182" s="133"/>
      <c r="E182" s="133"/>
      <c r="F182" s="133"/>
      <c r="G182" s="133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P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</row>
    <row r="183" spans="3:56" ht="12" customHeight="1" thickBot="1" x14ac:dyDescent="0.25">
      <c r="C183" s="61"/>
      <c r="D183" s="45" t="s">
        <v>0</v>
      </c>
      <c r="E183" s="45"/>
      <c r="F183" s="62"/>
      <c r="G183" s="45"/>
      <c r="H183" s="46" t="s">
        <v>0</v>
      </c>
      <c r="I183" s="46"/>
      <c r="J183" s="63"/>
      <c r="K183" s="46"/>
      <c r="L183" s="46" t="s">
        <v>0</v>
      </c>
      <c r="M183" s="46"/>
      <c r="N183" s="64"/>
      <c r="O183" s="45"/>
      <c r="P183" s="45"/>
      <c r="Q183" s="65"/>
      <c r="R183" s="46" t="s">
        <v>0</v>
      </c>
      <c r="S183" s="46"/>
      <c r="T183" s="63"/>
      <c r="U183" s="46"/>
      <c r="V183" s="46" t="s">
        <v>0</v>
      </c>
      <c r="W183" s="46"/>
      <c r="X183" s="63"/>
      <c r="Y183" s="46"/>
      <c r="Z183" s="46" t="s">
        <v>0</v>
      </c>
      <c r="AA183" s="46"/>
      <c r="AB183" s="64"/>
      <c r="AC183" s="45"/>
      <c r="AD183" s="45"/>
      <c r="AE183" s="65"/>
      <c r="AF183" s="46" t="s">
        <v>0</v>
      </c>
      <c r="AG183" s="46"/>
      <c r="AH183" s="63"/>
      <c r="AI183" s="46"/>
      <c r="AJ183" s="46" t="s">
        <v>0</v>
      </c>
      <c r="AK183" s="46"/>
      <c r="AL183" s="63"/>
      <c r="AM183" s="81"/>
      <c r="AN183" s="46" t="s">
        <v>0</v>
      </c>
      <c r="AP183" s="64"/>
      <c r="AQ183" s="38"/>
      <c r="AR183" s="38"/>
      <c r="AS183" s="65"/>
      <c r="AT183" s="46" t="s">
        <v>0</v>
      </c>
      <c r="AU183" s="46"/>
      <c r="AV183" s="63"/>
      <c r="AW183" s="46"/>
      <c r="AX183" s="46" t="s">
        <v>0</v>
      </c>
      <c r="AY183" s="46"/>
      <c r="AZ183" s="63"/>
      <c r="BA183" s="81"/>
      <c r="BB183" s="46"/>
      <c r="BC183" s="46" t="s">
        <v>0</v>
      </c>
      <c r="BD183" s="64"/>
    </row>
    <row r="184" spans="3:56" ht="12" customHeight="1" x14ac:dyDescent="0.2">
      <c r="C184" s="61"/>
      <c r="D184" s="45" t="s">
        <v>1</v>
      </c>
      <c r="E184" s="45"/>
      <c r="F184" s="62"/>
      <c r="G184" s="47"/>
      <c r="H184" s="47" t="s">
        <v>1</v>
      </c>
      <c r="I184" s="47"/>
      <c r="J184" s="66"/>
      <c r="K184" s="45"/>
      <c r="L184" s="45" t="s">
        <v>1</v>
      </c>
      <c r="M184" s="45"/>
      <c r="N184" s="67"/>
      <c r="O184" s="45"/>
      <c r="P184" s="45"/>
      <c r="Q184" s="61"/>
      <c r="R184" s="45" t="s">
        <v>1</v>
      </c>
      <c r="S184" s="45"/>
      <c r="T184" s="62"/>
      <c r="U184" s="47"/>
      <c r="V184" s="47" t="s">
        <v>1</v>
      </c>
      <c r="W184" s="47"/>
      <c r="X184" s="66"/>
      <c r="Y184" s="45"/>
      <c r="Z184" s="45" t="s">
        <v>1</v>
      </c>
      <c r="AA184" s="45"/>
      <c r="AB184" s="67"/>
      <c r="AC184" s="45"/>
      <c r="AD184" s="45"/>
      <c r="AE184" s="61"/>
      <c r="AF184" s="45" t="s">
        <v>1</v>
      </c>
      <c r="AG184" s="45">
        <v>1</v>
      </c>
      <c r="AH184" s="62"/>
      <c r="AI184" s="47"/>
      <c r="AJ184" s="47" t="s">
        <v>1</v>
      </c>
      <c r="AK184" s="47"/>
      <c r="AL184" s="66"/>
      <c r="AM184" s="82"/>
      <c r="AN184" s="45" t="s">
        <v>1</v>
      </c>
      <c r="AP184" s="67"/>
      <c r="AQ184" s="38"/>
      <c r="AR184" s="38"/>
      <c r="AS184" s="61"/>
      <c r="AT184" s="45" t="s">
        <v>1</v>
      </c>
      <c r="AU184" s="45"/>
      <c r="AV184" s="62"/>
      <c r="AW184" s="47"/>
      <c r="AX184" s="47" t="s">
        <v>1</v>
      </c>
      <c r="AY184" s="47"/>
      <c r="AZ184" s="66"/>
      <c r="BA184" s="82"/>
      <c r="BB184" s="45"/>
      <c r="BC184" s="45" t="s">
        <v>1</v>
      </c>
      <c r="BD184" s="67"/>
    </row>
    <row r="185" spans="3:56" ht="12" customHeight="1" x14ac:dyDescent="0.2">
      <c r="C185" s="61"/>
      <c r="D185" s="45" t="s">
        <v>2</v>
      </c>
      <c r="E185" s="45">
        <v>1</v>
      </c>
      <c r="F185" s="62"/>
      <c r="G185" s="45"/>
      <c r="H185" s="45" t="s">
        <v>2</v>
      </c>
      <c r="I185" s="45"/>
      <c r="J185" s="62"/>
      <c r="K185" s="45"/>
      <c r="L185" s="45" t="s">
        <v>2</v>
      </c>
      <c r="M185" s="45"/>
      <c r="N185" s="67"/>
      <c r="O185" s="45"/>
      <c r="P185" s="45"/>
      <c r="Q185" s="61"/>
      <c r="R185" s="45" t="s">
        <v>2</v>
      </c>
      <c r="S185" s="45"/>
      <c r="T185" s="62"/>
      <c r="U185" s="45"/>
      <c r="V185" s="45" t="s">
        <v>2</v>
      </c>
      <c r="W185" s="45"/>
      <c r="X185" s="62"/>
      <c r="Y185" s="45"/>
      <c r="Z185" s="45" t="s">
        <v>2</v>
      </c>
      <c r="AA185" s="45"/>
      <c r="AB185" s="67"/>
      <c r="AC185" s="45"/>
      <c r="AD185" s="45"/>
      <c r="AE185" s="61"/>
      <c r="AF185" s="45" t="s">
        <v>2</v>
      </c>
      <c r="AG185" s="45"/>
      <c r="AH185" s="62"/>
      <c r="AI185" s="45"/>
      <c r="AJ185" s="45" t="s">
        <v>2</v>
      </c>
      <c r="AK185" s="45">
        <v>1</v>
      </c>
      <c r="AL185" s="62"/>
      <c r="AM185" s="82"/>
      <c r="AN185" s="45" t="s">
        <v>2</v>
      </c>
      <c r="AP185" s="67"/>
      <c r="AQ185" s="38"/>
      <c r="AR185" s="38"/>
      <c r="AS185" s="61"/>
      <c r="AT185" s="45" t="s">
        <v>2</v>
      </c>
      <c r="AU185" s="45"/>
      <c r="AV185" s="62"/>
      <c r="AW185" s="45"/>
      <c r="AX185" s="45" t="s">
        <v>2</v>
      </c>
      <c r="AY185" s="45"/>
      <c r="AZ185" s="62"/>
      <c r="BA185" s="82"/>
      <c r="BB185" s="45"/>
      <c r="BC185" s="45" t="s">
        <v>2</v>
      </c>
      <c r="BD185" s="67"/>
    </row>
    <row r="186" spans="3:56" ht="12" customHeight="1" thickBot="1" x14ac:dyDescent="0.25">
      <c r="C186" s="61"/>
      <c r="D186" s="45" t="s">
        <v>3</v>
      </c>
      <c r="E186" s="45"/>
      <c r="F186" s="68"/>
      <c r="G186" s="48"/>
      <c r="H186" s="48" t="s">
        <v>3</v>
      </c>
      <c r="I186" s="48"/>
      <c r="J186" s="69"/>
      <c r="K186" s="45"/>
      <c r="L186" s="45" t="s">
        <v>3</v>
      </c>
      <c r="M186" s="45"/>
      <c r="N186" s="67"/>
      <c r="O186" s="45"/>
      <c r="P186" s="45"/>
      <c r="Q186" s="61"/>
      <c r="R186" s="45" t="s">
        <v>3</v>
      </c>
      <c r="S186" s="45"/>
      <c r="T186" s="68"/>
      <c r="U186" s="48"/>
      <c r="V186" s="48" t="s">
        <v>3</v>
      </c>
      <c r="W186" s="48"/>
      <c r="X186" s="69"/>
      <c r="Y186" s="45"/>
      <c r="Z186" s="45" t="s">
        <v>3</v>
      </c>
      <c r="AA186" s="45"/>
      <c r="AB186" s="67"/>
      <c r="AC186" s="45"/>
      <c r="AD186" s="45"/>
      <c r="AE186" s="61"/>
      <c r="AF186" s="45" t="s">
        <v>3</v>
      </c>
      <c r="AG186" s="45"/>
      <c r="AH186" s="68"/>
      <c r="AI186" s="48"/>
      <c r="AJ186" s="48" t="s">
        <v>3</v>
      </c>
      <c r="AK186" s="48"/>
      <c r="AL186" s="69"/>
      <c r="AM186" s="83"/>
      <c r="AN186" s="45" t="s">
        <v>3</v>
      </c>
      <c r="AP186" s="67"/>
      <c r="AQ186" s="38"/>
      <c r="AR186" s="38"/>
      <c r="AS186" s="61"/>
      <c r="AT186" s="45" t="s">
        <v>3</v>
      </c>
      <c r="AU186" s="45"/>
      <c r="AV186" s="68"/>
      <c r="AW186" s="48"/>
      <c r="AX186" s="48" t="s">
        <v>3</v>
      </c>
      <c r="AY186" s="48"/>
      <c r="AZ186" s="69"/>
      <c r="BA186" s="83"/>
      <c r="BB186" s="45"/>
      <c r="BC186" s="45" t="s">
        <v>3</v>
      </c>
      <c r="BD186" s="67"/>
    </row>
    <row r="187" spans="3:56" ht="12" customHeight="1" x14ac:dyDescent="0.2">
      <c r="C187" s="65"/>
      <c r="D187" s="46" t="s">
        <v>0</v>
      </c>
      <c r="E187" s="46"/>
      <c r="F187" s="67"/>
      <c r="G187" s="45"/>
      <c r="H187" s="40" t="s">
        <v>0</v>
      </c>
      <c r="I187" s="45"/>
      <c r="J187" s="62"/>
      <c r="K187" s="46"/>
      <c r="L187" s="46" t="s">
        <v>0</v>
      </c>
      <c r="M187" s="46"/>
      <c r="N187" s="64"/>
      <c r="O187" s="45"/>
      <c r="P187" s="45"/>
      <c r="Q187" s="65"/>
      <c r="R187" s="46" t="s">
        <v>0</v>
      </c>
      <c r="S187" s="46"/>
      <c r="T187" s="67"/>
      <c r="U187" s="45"/>
      <c r="V187" s="40" t="s">
        <v>0</v>
      </c>
      <c r="W187" s="45"/>
      <c r="X187" s="62"/>
      <c r="Y187" s="46"/>
      <c r="Z187" s="46" t="s">
        <v>0</v>
      </c>
      <c r="AA187" s="46"/>
      <c r="AB187" s="64"/>
      <c r="AC187" s="45"/>
      <c r="AD187" s="45"/>
      <c r="AE187" s="65"/>
      <c r="AF187" s="46" t="s">
        <v>0</v>
      </c>
      <c r="AG187" s="46"/>
      <c r="AH187" s="67"/>
      <c r="AI187" s="45"/>
      <c r="AJ187" s="40" t="s">
        <v>0</v>
      </c>
      <c r="AK187" s="45"/>
      <c r="AL187" s="62"/>
      <c r="AM187" s="46"/>
      <c r="AN187" s="46" t="s">
        <v>0</v>
      </c>
      <c r="AP187" s="64"/>
      <c r="AQ187" s="38"/>
      <c r="AR187" s="38"/>
      <c r="AS187" s="65"/>
      <c r="AT187" s="46" t="s">
        <v>0</v>
      </c>
      <c r="AU187" s="46"/>
      <c r="AV187" s="67"/>
      <c r="AW187" s="45"/>
      <c r="AX187" s="40" t="s">
        <v>0</v>
      </c>
      <c r="AY187" s="45"/>
      <c r="AZ187" s="62"/>
      <c r="BA187" s="46"/>
      <c r="BB187" s="46"/>
      <c r="BC187" s="46" t="s">
        <v>0</v>
      </c>
      <c r="BD187" s="64"/>
    </row>
    <row r="188" spans="3:56" ht="12" customHeight="1" x14ac:dyDescent="0.2">
      <c r="C188" s="61"/>
      <c r="D188" s="45" t="s">
        <v>1</v>
      </c>
      <c r="E188" s="45"/>
      <c r="F188" s="67"/>
      <c r="G188" s="45"/>
      <c r="H188" s="38" t="s">
        <v>1</v>
      </c>
      <c r="I188" s="45">
        <v>1</v>
      </c>
      <c r="J188" s="67"/>
      <c r="K188" s="45"/>
      <c r="L188" s="45" t="s">
        <v>1</v>
      </c>
      <c r="M188" s="45"/>
      <c r="N188" s="67"/>
      <c r="O188" s="45"/>
      <c r="P188" s="45"/>
      <c r="Q188" s="61"/>
      <c r="R188" s="45" t="s">
        <v>1</v>
      </c>
      <c r="S188" s="45"/>
      <c r="T188" s="67"/>
      <c r="U188" s="45"/>
      <c r="V188" s="38" t="s">
        <v>1</v>
      </c>
      <c r="W188" s="45"/>
      <c r="X188" s="67"/>
      <c r="Y188" s="45"/>
      <c r="Z188" s="45" t="s">
        <v>1</v>
      </c>
      <c r="AA188" s="45">
        <v>1</v>
      </c>
      <c r="AB188" s="67"/>
      <c r="AC188" s="45"/>
      <c r="AD188" s="45"/>
      <c r="AE188" s="61"/>
      <c r="AF188" s="45" t="s">
        <v>1</v>
      </c>
      <c r="AG188" s="45"/>
      <c r="AH188" s="67"/>
      <c r="AI188" s="45"/>
      <c r="AJ188" s="38" t="s">
        <v>1</v>
      </c>
      <c r="AK188" s="45">
        <v>1</v>
      </c>
      <c r="AL188" s="67"/>
      <c r="AM188" s="45"/>
      <c r="AN188" s="45" t="s">
        <v>1</v>
      </c>
      <c r="AP188" s="67"/>
      <c r="AQ188" s="38"/>
      <c r="AR188" s="38"/>
      <c r="AS188" s="61"/>
      <c r="AT188" s="45" t="s">
        <v>1</v>
      </c>
      <c r="AU188" s="45"/>
      <c r="AV188" s="67"/>
      <c r="AW188" s="45"/>
      <c r="AX188" s="38" t="s">
        <v>1</v>
      </c>
      <c r="AY188" s="45"/>
      <c r="AZ188" s="67"/>
      <c r="BA188" s="45"/>
      <c r="BB188" s="45"/>
      <c r="BC188" s="45" t="s">
        <v>1</v>
      </c>
      <c r="BD188" s="67"/>
    </row>
    <row r="189" spans="3:56" ht="12" customHeight="1" x14ac:dyDescent="0.2">
      <c r="C189" s="61"/>
      <c r="D189" s="45" t="s">
        <v>2</v>
      </c>
      <c r="E189" s="45"/>
      <c r="F189" s="67"/>
      <c r="G189" s="45"/>
      <c r="H189" s="38" t="s">
        <v>2</v>
      </c>
      <c r="I189" s="45"/>
      <c r="J189" s="67"/>
      <c r="K189" s="45"/>
      <c r="L189" s="45" t="s">
        <v>2</v>
      </c>
      <c r="M189" s="45"/>
      <c r="N189" s="67"/>
      <c r="O189" s="45"/>
      <c r="P189" s="45"/>
      <c r="Q189" s="61"/>
      <c r="R189" s="45" t="s">
        <v>2</v>
      </c>
      <c r="S189" s="45"/>
      <c r="T189" s="67"/>
      <c r="U189" s="45"/>
      <c r="V189" s="38" t="s">
        <v>2</v>
      </c>
      <c r="W189" s="45"/>
      <c r="X189" s="67"/>
      <c r="Y189" s="45"/>
      <c r="Z189" s="45" t="s">
        <v>2</v>
      </c>
      <c r="AA189" s="45"/>
      <c r="AB189" s="67"/>
      <c r="AC189" s="45"/>
      <c r="AD189" s="45"/>
      <c r="AE189" s="61"/>
      <c r="AF189" s="45" t="s">
        <v>2</v>
      </c>
      <c r="AG189" s="45"/>
      <c r="AH189" s="67"/>
      <c r="AI189" s="45"/>
      <c r="AJ189" s="38" t="s">
        <v>2</v>
      </c>
      <c r="AK189" s="45"/>
      <c r="AL189" s="67"/>
      <c r="AM189" s="45"/>
      <c r="AN189" s="45" t="s">
        <v>2</v>
      </c>
      <c r="AP189" s="67"/>
      <c r="AQ189" s="38"/>
      <c r="AR189" s="38"/>
      <c r="AS189" s="61"/>
      <c r="AT189" s="45" t="s">
        <v>2</v>
      </c>
      <c r="AU189" s="45"/>
      <c r="AV189" s="67"/>
      <c r="AW189" s="45"/>
      <c r="AX189" s="38" t="s">
        <v>2</v>
      </c>
      <c r="AY189" s="45"/>
      <c r="AZ189" s="67"/>
      <c r="BA189" s="45"/>
      <c r="BB189" s="45"/>
      <c r="BC189" s="45" t="s">
        <v>2</v>
      </c>
      <c r="BD189" s="67"/>
    </row>
    <row r="190" spans="3:56" ht="12" customHeight="1" x14ac:dyDescent="0.2">
      <c r="C190" s="70"/>
      <c r="D190" s="49" t="s">
        <v>3</v>
      </c>
      <c r="E190" s="49"/>
      <c r="F190" s="71"/>
      <c r="G190" s="49"/>
      <c r="H190" s="39" t="s">
        <v>3</v>
      </c>
      <c r="I190" s="49"/>
      <c r="J190" s="71"/>
      <c r="K190" s="49"/>
      <c r="L190" s="49" t="s">
        <v>3</v>
      </c>
      <c r="M190" s="49"/>
      <c r="N190" s="71"/>
      <c r="O190" s="45"/>
      <c r="P190" s="45"/>
      <c r="Q190" s="70"/>
      <c r="R190" s="49" t="s">
        <v>3</v>
      </c>
      <c r="S190" s="49"/>
      <c r="T190" s="71"/>
      <c r="U190" s="49"/>
      <c r="V190" s="39" t="s">
        <v>3</v>
      </c>
      <c r="W190" s="49"/>
      <c r="X190" s="71"/>
      <c r="Y190" s="49"/>
      <c r="Z190" s="49" t="s">
        <v>3</v>
      </c>
      <c r="AA190" s="49"/>
      <c r="AB190" s="71"/>
      <c r="AC190" s="45"/>
      <c r="AD190" s="45"/>
      <c r="AE190" s="70"/>
      <c r="AF190" s="49" t="s">
        <v>3</v>
      </c>
      <c r="AG190" s="49"/>
      <c r="AH190" s="71"/>
      <c r="AI190" s="49"/>
      <c r="AJ190" s="39" t="s">
        <v>3</v>
      </c>
      <c r="AK190" s="49"/>
      <c r="AL190" s="71"/>
      <c r="AM190" s="49"/>
      <c r="AN190" s="49" t="s">
        <v>3</v>
      </c>
      <c r="AP190" s="71"/>
      <c r="AQ190" s="38"/>
      <c r="AR190" s="38"/>
      <c r="AS190" s="70"/>
      <c r="AT190" s="49" t="s">
        <v>3</v>
      </c>
      <c r="AU190" s="49"/>
      <c r="AV190" s="71"/>
      <c r="AW190" s="49"/>
      <c r="AX190" s="39" t="s">
        <v>3</v>
      </c>
      <c r="AY190" s="49"/>
      <c r="AZ190" s="71"/>
      <c r="BA190" s="49"/>
      <c r="BB190" s="49"/>
      <c r="BC190" s="49" t="s">
        <v>3</v>
      </c>
      <c r="BD190" s="71"/>
    </row>
    <row r="191" spans="3:56" ht="12" customHeight="1" x14ac:dyDescent="0.2">
      <c r="C191" s="61"/>
      <c r="D191" s="45" t="s">
        <v>0</v>
      </c>
      <c r="E191" s="67"/>
      <c r="F191" s="45" t="s">
        <v>0</v>
      </c>
      <c r="G191" s="45"/>
      <c r="H191" s="67"/>
      <c r="I191" s="45" t="s">
        <v>0</v>
      </c>
      <c r="J191" s="45"/>
      <c r="K191" s="67"/>
      <c r="L191" s="45" t="s">
        <v>0</v>
      </c>
      <c r="M191" s="45"/>
      <c r="N191" s="67"/>
      <c r="O191" s="45"/>
      <c r="P191" s="45"/>
      <c r="Q191" s="61"/>
      <c r="R191" s="45" t="s">
        <v>0</v>
      </c>
      <c r="S191" s="67"/>
      <c r="T191" s="45" t="s">
        <v>0</v>
      </c>
      <c r="U191" s="45"/>
      <c r="V191" s="67"/>
      <c r="W191" s="45" t="s">
        <v>0</v>
      </c>
      <c r="X191" s="45"/>
      <c r="Y191" s="67"/>
      <c r="Z191" s="45" t="s">
        <v>0</v>
      </c>
      <c r="AA191" s="45"/>
      <c r="AB191" s="67"/>
      <c r="AC191" s="45"/>
      <c r="AD191" s="45"/>
      <c r="AE191" s="61"/>
      <c r="AF191" s="45" t="s">
        <v>0</v>
      </c>
      <c r="AG191" s="67"/>
      <c r="AH191" s="45" t="s">
        <v>0</v>
      </c>
      <c r="AI191" s="45"/>
      <c r="AJ191" s="67"/>
      <c r="AK191" s="45" t="s">
        <v>0</v>
      </c>
      <c r="AL191" s="45"/>
      <c r="AM191" s="67"/>
      <c r="AN191" s="45" t="s">
        <v>0</v>
      </c>
      <c r="AP191" s="67"/>
      <c r="AQ191" s="38"/>
      <c r="AR191" s="38"/>
      <c r="AS191" s="61"/>
      <c r="AT191" s="45" t="s">
        <v>0</v>
      </c>
      <c r="AU191" s="67"/>
      <c r="AV191" s="45" t="s">
        <v>0</v>
      </c>
      <c r="AW191" s="45"/>
      <c r="AX191" s="67"/>
      <c r="AY191" s="45" t="s">
        <v>0</v>
      </c>
      <c r="AZ191" s="45"/>
      <c r="BA191" s="67"/>
      <c r="BB191" s="61"/>
      <c r="BC191" s="45" t="s">
        <v>0</v>
      </c>
      <c r="BD191" s="67"/>
    </row>
    <row r="192" spans="3:56" ht="12" customHeight="1" x14ac:dyDescent="0.2">
      <c r="C192" s="61"/>
      <c r="D192" s="45" t="s">
        <v>1</v>
      </c>
      <c r="E192" s="67"/>
      <c r="F192" s="45" t="s">
        <v>1</v>
      </c>
      <c r="G192" s="45"/>
      <c r="H192" s="67"/>
      <c r="I192" s="45" t="s">
        <v>1</v>
      </c>
      <c r="J192" s="45"/>
      <c r="K192" s="67"/>
      <c r="L192" s="45" t="s">
        <v>1</v>
      </c>
      <c r="M192" s="45"/>
      <c r="N192" s="67"/>
      <c r="O192" s="45"/>
      <c r="P192" s="45"/>
      <c r="Q192" s="61"/>
      <c r="R192" s="45" t="s">
        <v>1</v>
      </c>
      <c r="S192" s="67"/>
      <c r="T192" s="45" t="s">
        <v>1</v>
      </c>
      <c r="U192" s="45"/>
      <c r="V192" s="67"/>
      <c r="W192" s="45" t="s">
        <v>1</v>
      </c>
      <c r="X192" s="45"/>
      <c r="Y192" s="67"/>
      <c r="Z192" s="45" t="s">
        <v>1</v>
      </c>
      <c r="AA192" s="45"/>
      <c r="AB192" s="67"/>
      <c r="AC192" s="45"/>
      <c r="AD192" s="45"/>
      <c r="AE192" s="61"/>
      <c r="AF192" s="45" t="s">
        <v>1</v>
      </c>
      <c r="AG192" s="67"/>
      <c r="AH192" s="45" t="s">
        <v>1</v>
      </c>
      <c r="AI192" s="45"/>
      <c r="AJ192" s="67"/>
      <c r="AK192" s="45" t="s">
        <v>1</v>
      </c>
      <c r="AL192" s="45"/>
      <c r="AM192" s="67"/>
      <c r="AN192" s="45" t="s">
        <v>1</v>
      </c>
      <c r="AP192" s="67"/>
      <c r="AQ192" s="38"/>
      <c r="AR192" s="38"/>
      <c r="AS192" s="61"/>
      <c r="AT192" s="45" t="s">
        <v>1</v>
      </c>
      <c r="AU192" s="67"/>
      <c r="AV192" s="45" t="s">
        <v>1</v>
      </c>
      <c r="AW192" s="45"/>
      <c r="AX192" s="67"/>
      <c r="AY192" s="45" t="s">
        <v>1</v>
      </c>
      <c r="AZ192" s="45"/>
      <c r="BA192" s="67"/>
      <c r="BB192" s="61"/>
      <c r="BC192" s="45" t="s">
        <v>1</v>
      </c>
      <c r="BD192" s="67"/>
    </row>
    <row r="193" spans="3:56" ht="12" customHeight="1" x14ac:dyDescent="0.2">
      <c r="C193" s="61"/>
      <c r="D193" s="45" t="s">
        <v>2</v>
      </c>
      <c r="E193" s="67"/>
      <c r="F193" s="45" t="s">
        <v>2</v>
      </c>
      <c r="G193" s="45"/>
      <c r="H193" s="67"/>
      <c r="I193" s="45" t="s">
        <v>2</v>
      </c>
      <c r="J193" s="45"/>
      <c r="K193" s="67"/>
      <c r="L193" s="45" t="s">
        <v>2</v>
      </c>
      <c r="M193" s="45"/>
      <c r="N193" s="67"/>
      <c r="O193" s="45"/>
      <c r="P193" s="45"/>
      <c r="Q193" s="61"/>
      <c r="R193" s="45" t="s">
        <v>2</v>
      </c>
      <c r="S193" s="67"/>
      <c r="T193" s="45" t="s">
        <v>2</v>
      </c>
      <c r="U193" s="45"/>
      <c r="V193" s="67"/>
      <c r="W193" s="45" t="s">
        <v>2</v>
      </c>
      <c r="X193" s="45"/>
      <c r="Y193" s="67"/>
      <c r="Z193" s="45" t="s">
        <v>2</v>
      </c>
      <c r="AA193" s="45"/>
      <c r="AB193" s="67"/>
      <c r="AC193" s="45"/>
      <c r="AD193" s="45"/>
      <c r="AE193" s="61"/>
      <c r="AF193" s="45" t="s">
        <v>2</v>
      </c>
      <c r="AG193" s="67"/>
      <c r="AH193" s="45" t="s">
        <v>2</v>
      </c>
      <c r="AI193" s="45"/>
      <c r="AJ193" s="67"/>
      <c r="AK193" s="45" t="s">
        <v>2</v>
      </c>
      <c r="AL193" s="45"/>
      <c r="AM193" s="67"/>
      <c r="AN193" s="45" t="s">
        <v>2</v>
      </c>
      <c r="AP193" s="67"/>
      <c r="AQ193" s="38"/>
      <c r="AR193" s="38"/>
      <c r="AS193" s="61"/>
      <c r="AT193" s="45" t="s">
        <v>2</v>
      </c>
      <c r="AU193" s="67"/>
      <c r="AV193" s="45" t="s">
        <v>2</v>
      </c>
      <c r="AW193" s="45"/>
      <c r="AX193" s="67"/>
      <c r="AY193" s="45" t="s">
        <v>2</v>
      </c>
      <c r="AZ193" s="45"/>
      <c r="BA193" s="67"/>
      <c r="BB193" s="61"/>
      <c r="BC193" s="45" t="s">
        <v>2</v>
      </c>
      <c r="BD193" s="67"/>
    </row>
    <row r="194" spans="3:56" ht="12" customHeight="1" x14ac:dyDescent="0.2">
      <c r="C194" s="70"/>
      <c r="D194" s="49" t="s">
        <v>3</v>
      </c>
      <c r="E194" s="71"/>
      <c r="F194" s="49" t="s">
        <v>3</v>
      </c>
      <c r="G194" s="49"/>
      <c r="H194" s="71"/>
      <c r="I194" s="49" t="s">
        <v>3</v>
      </c>
      <c r="J194" s="49"/>
      <c r="K194" s="71"/>
      <c r="L194" s="49" t="s">
        <v>3</v>
      </c>
      <c r="M194" s="49"/>
      <c r="N194" s="71"/>
      <c r="O194" s="45"/>
      <c r="P194" s="45"/>
      <c r="Q194" s="70"/>
      <c r="R194" s="49" t="s">
        <v>3</v>
      </c>
      <c r="S194" s="71"/>
      <c r="T194" s="49" t="s">
        <v>3</v>
      </c>
      <c r="U194" s="49"/>
      <c r="V194" s="71"/>
      <c r="W194" s="49" t="s">
        <v>3</v>
      </c>
      <c r="X194" s="49"/>
      <c r="Y194" s="71"/>
      <c r="Z194" s="49" t="s">
        <v>3</v>
      </c>
      <c r="AA194" s="49"/>
      <c r="AB194" s="71"/>
      <c r="AC194" s="45"/>
      <c r="AD194" s="45"/>
      <c r="AE194" s="70"/>
      <c r="AF194" s="49" t="s">
        <v>3</v>
      </c>
      <c r="AG194" s="71"/>
      <c r="AH194" s="49" t="s">
        <v>3</v>
      </c>
      <c r="AI194" s="49"/>
      <c r="AJ194" s="71"/>
      <c r="AK194" s="49" t="s">
        <v>3</v>
      </c>
      <c r="AL194" s="49"/>
      <c r="AM194" s="71"/>
      <c r="AN194" s="49" t="s">
        <v>3</v>
      </c>
      <c r="AP194" s="71"/>
      <c r="AQ194" s="38"/>
      <c r="AR194" s="38"/>
      <c r="AS194" s="70"/>
      <c r="AT194" s="49" t="s">
        <v>3</v>
      </c>
      <c r="AU194" s="71"/>
      <c r="AV194" s="49" t="s">
        <v>3</v>
      </c>
      <c r="AW194" s="49"/>
      <c r="AX194" s="71"/>
      <c r="AY194" s="49" t="s">
        <v>3</v>
      </c>
      <c r="AZ194" s="49"/>
      <c r="BA194" s="71"/>
      <c r="BB194" s="70"/>
      <c r="BC194" s="49" t="s">
        <v>3</v>
      </c>
      <c r="BD194" s="71"/>
    </row>
    <row r="195" spans="3:56" ht="12" customHeight="1" x14ac:dyDescent="0.2"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  <c r="AA195" s="38"/>
      <c r="AB195" s="38"/>
      <c r="AC195" s="38"/>
      <c r="AD195" s="38"/>
      <c r="AE195" s="38"/>
      <c r="AF195" s="38"/>
      <c r="AG195" s="38"/>
      <c r="AH195" s="38"/>
      <c r="AI195" s="38"/>
      <c r="AJ195" s="38"/>
      <c r="AK195" s="38"/>
      <c r="AL195" s="38"/>
      <c r="AM195" s="38"/>
      <c r="AN195" s="38"/>
      <c r="AP195" s="38"/>
      <c r="AQ195" s="38"/>
      <c r="AR195" s="38"/>
      <c r="AS195" s="38"/>
      <c r="AT195" s="38"/>
      <c r="AU195" s="38"/>
      <c r="AV195" s="38"/>
      <c r="AW195" s="38"/>
      <c r="AX195" s="38"/>
      <c r="AY195" s="38"/>
      <c r="AZ195" s="38"/>
      <c r="BA195" s="38"/>
      <c r="BB195" s="38"/>
      <c r="BC195" s="38"/>
      <c r="BD195" s="38"/>
    </row>
    <row r="196" spans="3:56" ht="12" customHeight="1" x14ac:dyDescent="0.2">
      <c r="C196" s="132" t="s">
        <v>50</v>
      </c>
      <c r="D196" s="132"/>
      <c r="E196" s="132"/>
      <c r="F196" s="132"/>
      <c r="G196" s="132"/>
      <c r="H196" s="43"/>
      <c r="I196" s="43"/>
      <c r="J196" s="43"/>
      <c r="K196" s="43"/>
      <c r="L196" s="43"/>
      <c r="M196" s="43"/>
      <c r="N196" s="43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P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</row>
    <row r="197" spans="3:56" ht="12" customHeight="1" x14ac:dyDescent="0.2">
      <c r="C197" s="133"/>
      <c r="D197" s="133"/>
      <c r="E197" s="133"/>
      <c r="F197" s="133"/>
      <c r="G197" s="133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P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</row>
    <row r="198" spans="3:56" ht="12" customHeight="1" thickBot="1" x14ac:dyDescent="0.25">
      <c r="C198" s="61"/>
      <c r="D198" s="45" t="s">
        <v>0</v>
      </c>
      <c r="E198" s="45"/>
      <c r="F198" s="62"/>
      <c r="G198" s="45"/>
      <c r="H198" s="46" t="s">
        <v>0</v>
      </c>
      <c r="I198" s="46"/>
      <c r="J198" s="63"/>
      <c r="K198" s="46"/>
      <c r="L198" s="46" t="s">
        <v>0</v>
      </c>
      <c r="M198" s="46"/>
      <c r="N198" s="64"/>
      <c r="O198" s="45"/>
      <c r="P198" s="45"/>
      <c r="Q198" s="65"/>
      <c r="R198" s="46" t="s">
        <v>0</v>
      </c>
      <c r="S198" s="46"/>
      <c r="T198" s="63"/>
      <c r="U198" s="46"/>
      <c r="V198" s="46" t="s">
        <v>0</v>
      </c>
      <c r="W198" s="46"/>
      <c r="X198" s="63"/>
      <c r="Y198" s="46"/>
      <c r="Z198" s="46" t="s">
        <v>0</v>
      </c>
      <c r="AA198" s="46"/>
      <c r="AB198" s="64"/>
      <c r="AC198" s="45"/>
      <c r="AD198" s="45"/>
      <c r="AE198" s="65"/>
      <c r="AF198" s="46" t="s">
        <v>0</v>
      </c>
      <c r="AG198" s="46"/>
      <c r="AH198" s="63"/>
      <c r="AI198" s="46"/>
      <c r="AJ198" s="46" t="s">
        <v>0</v>
      </c>
      <c r="AK198" s="46"/>
      <c r="AL198" s="63"/>
      <c r="AM198" s="81"/>
      <c r="AN198" s="46" t="s">
        <v>0</v>
      </c>
      <c r="AP198" s="64"/>
      <c r="AQ198" s="38"/>
      <c r="AR198" s="38"/>
      <c r="AS198" s="65"/>
      <c r="AT198" s="46" t="s">
        <v>0</v>
      </c>
      <c r="AU198" s="46"/>
      <c r="AV198" s="63"/>
      <c r="AW198" s="46"/>
      <c r="AX198" s="46" t="s">
        <v>0</v>
      </c>
      <c r="AY198" s="46"/>
      <c r="AZ198" s="63"/>
      <c r="BA198" s="81"/>
      <c r="BB198" s="46"/>
      <c r="BC198" s="46" t="s">
        <v>0</v>
      </c>
      <c r="BD198" s="64"/>
    </row>
    <row r="199" spans="3:56" ht="12" customHeight="1" x14ac:dyDescent="0.2">
      <c r="C199" s="61"/>
      <c r="D199" s="45" t="s">
        <v>1</v>
      </c>
      <c r="E199" s="45"/>
      <c r="F199" s="62"/>
      <c r="G199" s="47"/>
      <c r="H199" s="47" t="s">
        <v>1</v>
      </c>
      <c r="I199" s="47"/>
      <c r="J199" s="66"/>
      <c r="K199" s="45"/>
      <c r="L199" s="45" t="s">
        <v>1</v>
      </c>
      <c r="M199" s="45"/>
      <c r="N199" s="67"/>
      <c r="O199" s="45"/>
      <c r="P199" s="45"/>
      <c r="Q199" s="61"/>
      <c r="R199" s="45" t="s">
        <v>1</v>
      </c>
      <c r="S199" s="45"/>
      <c r="T199" s="62"/>
      <c r="U199" s="47"/>
      <c r="V199" s="47" t="s">
        <v>1</v>
      </c>
      <c r="W199" s="47"/>
      <c r="X199" s="66"/>
      <c r="Y199" s="45"/>
      <c r="Z199" s="45" t="s">
        <v>1</v>
      </c>
      <c r="AA199" s="45"/>
      <c r="AB199" s="67"/>
      <c r="AC199" s="45"/>
      <c r="AD199" s="45"/>
      <c r="AE199" s="61"/>
      <c r="AF199" s="45" t="s">
        <v>1</v>
      </c>
      <c r="AG199" s="45"/>
      <c r="AH199" s="62"/>
      <c r="AI199" s="47"/>
      <c r="AJ199" s="47" t="s">
        <v>1</v>
      </c>
      <c r="AK199" s="47"/>
      <c r="AL199" s="66"/>
      <c r="AM199" s="82"/>
      <c r="AN199" s="45" t="s">
        <v>1</v>
      </c>
      <c r="AP199" s="67"/>
      <c r="AQ199" s="38"/>
      <c r="AR199" s="38"/>
      <c r="AS199" s="61"/>
      <c r="AT199" s="45" t="s">
        <v>1</v>
      </c>
      <c r="AU199" s="45"/>
      <c r="AV199" s="62"/>
      <c r="AW199" s="47"/>
      <c r="AX199" s="47" t="s">
        <v>1</v>
      </c>
      <c r="AY199" s="47"/>
      <c r="AZ199" s="66"/>
      <c r="BA199" s="82"/>
      <c r="BB199" s="45"/>
      <c r="BC199" s="45" t="s">
        <v>1</v>
      </c>
      <c r="BD199" s="67"/>
    </row>
    <row r="200" spans="3:56" ht="12" customHeight="1" x14ac:dyDescent="0.2">
      <c r="C200" s="61"/>
      <c r="D200" s="45" t="s">
        <v>2</v>
      </c>
      <c r="E200" s="45"/>
      <c r="F200" s="62"/>
      <c r="G200" s="45"/>
      <c r="H200" s="45" t="s">
        <v>2</v>
      </c>
      <c r="I200" s="45"/>
      <c r="J200" s="62"/>
      <c r="K200" s="45"/>
      <c r="L200" s="45" t="s">
        <v>2</v>
      </c>
      <c r="M200" s="45"/>
      <c r="N200" s="67"/>
      <c r="O200" s="45"/>
      <c r="P200" s="45"/>
      <c r="Q200" s="61"/>
      <c r="R200" s="45" t="s">
        <v>2</v>
      </c>
      <c r="S200" s="45"/>
      <c r="T200" s="62"/>
      <c r="U200" s="45"/>
      <c r="V200" s="45" t="s">
        <v>2</v>
      </c>
      <c r="W200" s="45"/>
      <c r="X200" s="62"/>
      <c r="Y200" s="45"/>
      <c r="Z200" s="45" t="s">
        <v>2</v>
      </c>
      <c r="AA200" s="45"/>
      <c r="AB200" s="67"/>
      <c r="AC200" s="45"/>
      <c r="AD200" s="45"/>
      <c r="AE200" s="61"/>
      <c r="AF200" s="45" t="s">
        <v>2</v>
      </c>
      <c r="AG200" s="45"/>
      <c r="AH200" s="62"/>
      <c r="AI200" s="45"/>
      <c r="AJ200" s="45" t="s">
        <v>2</v>
      </c>
      <c r="AK200" s="45"/>
      <c r="AL200" s="62"/>
      <c r="AM200" s="82"/>
      <c r="AN200" s="45" t="s">
        <v>2</v>
      </c>
      <c r="AP200" s="67"/>
      <c r="AQ200" s="38"/>
      <c r="AR200" s="38"/>
      <c r="AS200" s="61"/>
      <c r="AT200" s="45" t="s">
        <v>2</v>
      </c>
      <c r="AU200" s="45"/>
      <c r="AV200" s="62"/>
      <c r="AW200" s="45"/>
      <c r="AX200" s="45" t="s">
        <v>2</v>
      </c>
      <c r="AY200" s="45"/>
      <c r="AZ200" s="62"/>
      <c r="BA200" s="82"/>
      <c r="BB200" s="45"/>
      <c r="BC200" s="45" t="s">
        <v>2</v>
      </c>
      <c r="BD200" s="67"/>
    </row>
    <row r="201" spans="3:56" ht="12" customHeight="1" thickBot="1" x14ac:dyDescent="0.25">
      <c r="C201" s="61"/>
      <c r="D201" s="45" t="s">
        <v>3</v>
      </c>
      <c r="E201" s="45"/>
      <c r="F201" s="68"/>
      <c r="G201" s="48"/>
      <c r="H201" s="48" t="s">
        <v>3</v>
      </c>
      <c r="I201" s="48"/>
      <c r="J201" s="69"/>
      <c r="K201" s="45"/>
      <c r="L201" s="45" t="s">
        <v>3</v>
      </c>
      <c r="M201" s="45"/>
      <c r="N201" s="67"/>
      <c r="O201" s="45"/>
      <c r="P201" s="45"/>
      <c r="Q201" s="61"/>
      <c r="R201" s="45" t="s">
        <v>3</v>
      </c>
      <c r="S201" s="45"/>
      <c r="T201" s="68"/>
      <c r="U201" s="48"/>
      <c r="V201" s="48" t="s">
        <v>3</v>
      </c>
      <c r="W201" s="48"/>
      <c r="X201" s="69"/>
      <c r="Y201" s="45"/>
      <c r="Z201" s="45" t="s">
        <v>3</v>
      </c>
      <c r="AA201" s="45"/>
      <c r="AB201" s="67"/>
      <c r="AC201" s="45"/>
      <c r="AD201" s="45"/>
      <c r="AE201" s="61"/>
      <c r="AF201" s="45" t="s">
        <v>3</v>
      </c>
      <c r="AG201" s="45"/>
      <c r="AH201" s="68"/>
      <c r="AI201" s="48"/>
      <c r="AJ201" s="48" t="s">
        <v>3</v>
      </c>
      <c r="AK201" s="48"/>
      <c r="AL201" s="69"/>
      <c r="AM201" s="83"/>
      <c r="AN201" s="45" t="s">
        <v>3</v>
      </c>
      <c r="AP201" s="67"/>
      <c r="AQ201" s="38"/>
      <c r="AR201" s="38"/>
      <c r="AS201" s="61"/>
      <c r="AT201" s="45" t="s">
        <v>3</v>
      </c>
      <c r="AU201" s="45"/>
      <c r="AV201" s="68"/>
      <c r="AW201" s="48"/>
      <c r="AX201" s="48" t="s">
        <v>3</v>
      </c>
      <c r="AY201" s="48"/>
      <c r="AZ201" s="69"/>
      <c r="BA201" s="83"/>
      <c r="BB201" s="45"/>
      <c r="BC201" s="45" t="s">
        <v>3</v>
      </c>
      <c r="BD201" s="67"/>
    </row>
    <row r="202" spans="3:56" ht="12" customHeight="1" x14ac:dyDescent="0.2">
      <c r="C202" s="65"/>
      <c r="D202" s="46" t="s">
        <v>0</v>
      </c>
      <c r="E202" s="46"/>
      <c r="F202" s="67"/>
      <c r="G202" s="45"/>
      <c r="H202" s="40" t="s">
        <v>0</v>
      </c>
      <c r="I202" s="45"/>
      <c r="J202" s="62"/>
      <c r="K202" s="46"/>
      <c r="L202" s="46" t="s">
        <v>0</v>
      </c>
      <c r="M202" s="46"/>
      <c r="N202" s="64"/>
      <c r="O202" s="45"/>
      <c r="P202" s="45"/>
      <c r="Q202" s="65"/>
      <c r="R202" s="46" t="s">
        <v>0</v>
      </c>
      <c r="S202" s="46"/>
      <c r="T202" s="67"/>
      <c r="U202" s="45"/>
      <c r="V202" s="40" t="s">
        <v>0</v>
      </c>
      <c r="W202" s="45"/>
      <c r="X202" s="62"/>
      <c r="Y202" s="46"/>
      <c r="Z202" s="46" t="s">
        <v>0</v>
      </c>
      <c r="AA202" s="46"/>
      <c r="AB202" s="64"/>
      <c r="AC202" s="45"/>
      <c r="AD202" s="45"/>
      <c r="AE202" s="65"/>
      <c r="AF202" s="46" t="s">
        <v>0</v>
      </c>
      <c r="AG202" s="46"/>
      <c r="AH202" s="67"/>
      <c r="AI202" s="45"/>
      <c r="AJ202" s="40" t="s">
        <v>0</v>
      </c>
      <c r="AK202" s="45"/>
      <c r="AL202" s="62"/>
      <c r="AM202" s="46"/>
      <c r="AN202" s="46" t="s">
        <v>0</v>
      </c>
      <c r="AP202" s="64"/>
      <c r="AQ202" s="38"/>
      <c r="AR202" s="38"/>
      <c r="AS202" s="65"/>
      <c r="AT202" s="46" t="s">
        <v>0</v>
      </c>
      <c r="AU202" s="46"/>
      <c r="AV202" s="67"/>
      <c r="AW202" s="45"/>
      <c r="AX202" s="40" t="s">
        <v>0</v>
      </c>
      <c r="AY202" s="45"/>
      <c r="AZ202" s="62"/>
      <c r="BA202" s="46"/>
      <c r="BB202" s="46"/>
      <c r="BC202" s="46" t="s">
        <v>0</v>
      </c>
      <c r="BD202" s="64"/>
    </row>
    <row r="203" spans="3:56" ht="12" customHeight="1" x14ac:dyDescent="0.2">
      <c r="C203" s="61"/>
      <c r="D203" s="45" t="s">
        <v>1</v>
      </c>
      <c r="E203" s="45"/>
      <c r="F203" s="67"/>
      <c r="G203" s="45"/>
      <c r="H203" s="38" t="s">
        <v>1</v>
      </c>
      <c r="I203" s="45"/>
      <c r="J203" s="67"/>
      <c r="K203" s="45"/>
      <c r="L203" s="45" t="s">
        <v>1</v>
      </c>
      <c r="M203" s="45"/>
      <c r="N203" s="67"/>
      <c r="O203" s="45"/>
      <c r="P203" s="45"/>
      <c r="Q203" s="61"/>
      <c r="R203" s="45" t="s">
        <v>1</v>
      </c>
      <c r="S203" s="45"/>
      <c r="T203" s="67"/>
      <c r="U203" s="45"/>
      <c r="V203" s="38" t="s">
        <v>1</v>
      </c>
      <c r="W203" s="45"/>
      <c r="X203" s="67"/>
      <c r="Y203" s="45"/>
      <c r="Z203" s="45" t="s">
        <v>1</v>
      </c>
      <c r="AA203" s="45"/>
      <c r="AB203" s="67"/>
      <c r="AC203" s="45"/>
      <c r="AD203" s="45"/>
      <c r="AE203" s="61"/>
      <c r="AF203" s="45" t="s">
        <v>1</v>
      </c>
      <c r="AG203" s="45"/>
      <c r="AH203" s="67"/>
      <c r="AI203" s="45"/>
      <c r="AJ203" s="38" t="s">
        <v>1</v>
      </c>
      <c r="AK203" s="45"/>
      <c r="AL203" s="67"/>
      <c r="AM203" s="45"/>
      <c r="AN203" s="45" t="s">
        <v>1</v>
      </c>
      <c r="AP203" s="67"/>
      <c r="AQ203" s="38"/>
      <c r="AR203" s="38"/>
      <c r="AS203" s="61"/>
      <c r="AT203" s="45" t="s">
        <v>1</v>
      </c>
      <c r="AU203" s="45"/>
      <c r="AV203" s="67"/>
      <c r="AW203" s="45"/>
      <c r="AX203" s="38" t="s">
        <v>1</v>
      </c>
      <c r="AY203" s="45"/>
      <c r="AZ203" s="67"/>
      <c r="BA203" s="45"/>
      <c r="BB203" s="45"/>
      <c r="BC203" s="45" t="s">
        <v>1</v>
      </c>
      <c r="BD203" s="67"/>
    </row>
    <row r="204" spans="3:56" ht="12" customHeight="1" x14ac:dyDescent="0.2">
      <c r="C204" s="61"/>
      <c r="D204" s="45" t="s">
        <v>2</v>
      </c>
      <c r="E204" s="45"/>
      <c r="F204" s="67"/>
      <c r="G204" s="45"/>
      <c r="H204" s="38" t="s">
        <v>2</v>
      </c>
      <c r="I204" s="45"/>
      <c r="J204" s="67"/>
      <c r="K204" s="45"/>
      <c r="L204" s="45" t="s">
        <v>2</v>
      </c>
      <c r="M204" s="45"/>
      <c r="N204" s="67"/>
      <c r="O204" s="45"/>
      <c r="P204" s="45"/>
      <c r="Q204" s="61"/>
      <c r="R204" s="45" t="s">
        <v>2</v>
      </c>
      <c r="S204" s="45"/>
      <c r="T204" s="67"/>
      <c r="U204" s="45"/>
      <c r="V204" s="38" t="s">
        <v>2</v>
      </c>
      <c r="W204" s="45"/>
      <c r="X204" s="67"/>
      <c r="Y204" s="45"/>
      <c r="Z204" s="45" t="s">
        <v>2</v>
      </c>
      <c r="AA204" s="45"/>
      <c r="AB204" s="67"/>
      <c r="AC204" s="45"/>
      <c r="AD204" s="45"/>
      <c r="AE204" s="61"/>
      <c r="AF204" s="45" t="s">
        <v>2</v>
      </c>
      <c r="AG204" s="45"/>
      <c r="AH204" s="67"/>
      <c r="AI204" s="45"/>
      <c r="AJ204" s="38" t="s">
        <v>2</v>
      </c>
      <c r="AK204" s="45"/>
      <c r="AL204" s="67"/>
      <c r="AM204" s="45"/>
      <c r="AN204" s="45" t="s">
        <v>2</v>
      </c>
      <c r="AP204" s="67"/>
      <c r="AQ204" s="38"/>
      <c r="AR204" s="38"/>
      <c r="AS204" s="61"/>
      <c r="AT204" s="45" t="s">
        <v>2</v>
      </c>
      <c r="AU204" s="45"/>
      <c r="AV204" s="67"/>
      <c r="AW204" s="45"/>
      <c r="AX204" s="38" t="s">
        <v>2</v>
      </c>
      <c r="AY204" s="45"/>
      <c r="AZ204" s="67"/>
      <c r="BA204" s="45"/>
      <c r="BB204" s="45"/>
      <c r="BC204" s="45" t="s">
        <v>2</v>
      </c>
      <c r="BD204" s="67"/>
    </row>
    <row r="205" spans="3:56" ht="12" customHeight="1" x14ac:dyDescent="0.2">
      <c r="C205" s="70"/>
      <c r="D205" s="49" t="s">
        <v>3</v>
      </c>
      <c r="E205" s="49"/>
      <c r="F205" s="71"/>
      <c r="G205" s="49"/>
      <c r="H205" s="39" t="s">
        <v>3</v>
      </c>
      <c r="I205" s="49"/>
      <c r="J205" s="71"/>
      <c r="K205" s="49"/>
      <c r="L205" s="49" t="s">
        <v>3</v>
      </c>
      <c r="M205" s="49"/>
      <c r="N205" s="71"/>
      <c r="O205" s="45"/>
      <c r="P205" s="45"/>
      <c r="Q205" s="70"/>
      <c r="R205" s="49" t="s">
        <v>3</v>
      </c>
      <c r="S205" s="49"/>
      <c r="T205" s="71"/>
      <c r="U205" s="49"/>
      <c r="V205" s="39" t="s">
        <v>3</v>
      </c>
      <c r="W205" s="49"/>
      <c r="X205" s="71"/>
      <c r="Y205" s="49"/>
      <c r="Z205" s="49" t="s">
        <v>3</v>
      </c>
      <c r="AA205" s="49"/>
      <c r="AB205" s="71"/>
      <c r="AC205" s="45"/>
      <c r="AD205" s="45"/>
      <c r="AE205" s="70"/>
      <c r="AF205" s="49" t="s">
        <v>3</v>
      </c>
      <c r="AG205" s="49"/>
      <c r="AH205" s="71"/>
      <c r="AI205" s="49"/>
      <c r="AJ205" s="39" t="s">
        <v>3</v>
      </c>
      <c r="AK205" s="49"/>
      <c r="AL205" s="71"/>
      <c r="AM205" s="49"/>
      <c r="AN205" s="49" t="s">
        <v>3</v>
      </c>
      <c r="AP205" s="71"/>
      <c r="AQ205" s="38"/>
      <c r="AR205" s="38"/>
      <c r="AS205" s="70"/>
      <c r="AT205" s="49" t="s">
        <v>3</v>
      </c>
      <c r="AU205" s="49"/>
      <c r="AV205" s="71"/>
      <c r="AW205" s="49"/>
      <c r="AX205" s="39" t="s">
        <v>3</v>
      </c>
      <c r="AY205" s="49"/>
      <c r="AZ205" s="71"/>
      <c r="BA205" s="49"/>
      <c r="BB205" s="49"/>
      <c r="BC205" s="49" t="s">
        <v>3</v>
      </c>
      <c r="BD205" s="71"/>
    </row>
    <row r="206" spans="3:56" ht="12" customHeight="1" x14ac:dyDescent="0.2">
      <c r="C206" s="61"/>
      <c r="D206" s="45" t="s">
        <v>0</v>
      </c>
      <c r="E206" s="67"/>
      <c r="F206" s="45" t="s">
        <v>0</v>
      </c>
      <c r="G206" s="45"/>
      <c r="H206" s="67"/>
      <c r="I206" s="45" t="s">
        <v>0</v>
      </c>
      <c r="J206" s="45"/>
      <c r="K206" s="67"/>
      <c r="L206" s="45" t="s">
        <v>0</v>
      </c>
      <c r="M206" s="45"/>
      <c r="N206" s="67"/>
      <c r="O206" s="45"/>
      <c r="P206" s="45"/>
      <c r="Q206" s="61"/>
      <c r="R206" s="45" t="s">
        <v>0</v>
      </c>
      <c r="S206" s="67"/>
      <c r="T206" s="45" t="s">
        <v>0</v>
      </c>
      <c r="U206" s="45"/>
      <c r="V206" s="67"/>
      <c r="W206" s="45" t="s">
        <v>0</v>
      </c>
      <c r="X206" s="45"/>
      <c r="Y206" s="67"/>
      <c r="Z206" s="45" t="s">
        <v>0</v>
      </c>
      <c r="AA206" s="45"/>
      <c r="AB206" s="67"/>
      <c r="AC206" s="45"/>
      <c r="AD206" s="45"/>
      <c r="AE206" s="61"/>
      <c r="AF206" s="45" t="s">
        <v>0</v>
      </c>
      <c r="AG206" s="67"/>
      <c r="AH206" s="45" t="s">
        <v>0</v>
      </c>
      <c r="AI206" s="45"/>
      <c r="AJ206" s="67"/>
      <c r="AK206" s="45" t="s">
        <v>0</v>
      </c>
      <c r="AL206" s="45"/>
      <c r="AM206" s="67"/>
      <c r="AN206" s="45" t="s">
        <v>0</v>
      </c>
      <c r="AP206" s="67"/>
      <c r="AQ206" s="38"/>
      <c r="AR206" s="38"/>
      <c r="AS206" s="61"/>
      <c r="AT206" s="45" t="s">
        <v>0</v>
      </c>
      <c r="AU206" s="67"/>
      <c r="AV206" s="45" t="s">
        <v>0</v>
      </c>
      <c r="AW206" s="45"/>
      <c r="AX206" s="67"/>
      <c r="AY206" s="45" t="s">
        <v>0</v>
      </c>
      <c r="AZ206" s="45"/>
      <c r="BA206" s="67"/>
      <c r="BB206" s="61"/>
      <c r="BC206" s="45" t="s">
        <v>0</v>
      </c>
      <c r="BD206" s="67"/>
    </row>
    <row r="207" spans="3:56" ht="12" customHeight="1" x14ac:dyDescent="0.2">
      <c r="C207" s="61"/>
      <c r="D207" s="45" t="s">
        <v>1</v>
      </c>
      <c r="E207" s="67"/>
      <c r="F207" s="45" t="s">
        <v>1</v>
      </c>
      <c r="G207" s="45"/>
      <c r="H207" s="67"/>
      <c r="I207" s="45" t="s">
        <v>1</v>
      </c>
      <c r="J207" s="45"/>
      <c r="K207" s="67"/>
      <c r="L207" s="45" t="s">
        <v>1</v>
      </c>
      <c r="M207" s="45"/>
      <c r="N207" s="67"/>
      <c r="O207" s="45"/>
      <c r="P207" s="45"/>
      <c r="Q207" s="61"/>
      <c r="R207" s="45" t="s">
        <v>1</v>
      </c>
      <c r="S207" s="67"/>
      <c r="T207" s="45" t="s">
        <v>1</v>
      </c>
      <c r="U207" s="45"/>
      <c r="V207" s="67"/>
      <c r="W207" s="45" t="s">
        <v>1</v>
      </c>
      <c r="X207" s="45"/>
      <c r="Y207" s="67"/>
      <c r="Z207" s="45" t="s">
        <v>1</v>
      </c>
      <c r="AA207" s="45"/>
      <c r="AB207" s="67"/>
      <c r="AC207" s="45"/>
      <c r="AD207" s="45"/>
      <c r="AE207" s="61"/>
      <c r="AF207" s="45" t="s">
        <v>1</v>
      </c>
      <c r="AG207" s="67"/>
      <c r="AH207" s="45" t="s">
        <v>1</v>
      </c>
      <c r="AI207" s="45"/>
      <c r="AJ207" s="67"/>
      <c r="AK207" s="45" t="s">
        <v>1</v>
      </c>
      <c r="AL207" s="45"/>
      <c r="AM207" s="67"/>
      <c r="AN207" s="45" t="s">
        <v>1</v>
      </c>
      <c r="AP207" s="67"/>
      <c r="AQ207" s="38"/>
      <c r="AR207" s="38"/>
      <c r="AS207" s="61"/>
      <c r="AT207" s="45" t="s">
        <v>1</v>
      </c>
      <c r="AU207" s="67"/>
      <c r="AV207" s="45" t="s">
        <v>1</v>
      </c>
      <c r="AW207" s="45"/>
      <c r="AX207" s="67"/>
      <c r="AY207" s="45" t="s">
        <v>1</v>
      </c>
      <c r="AZ207" s="45"/>
      <c r="BA207" s="67"/>
      <c r="BB207" s="61"/>
      <c r="BC207" s="45" t="s">
        <v>1</v>
      </c>
      <c r="BD207" s="67"/>
    </row>
    <row r="208" spans="3:56" ht="12" customHeight="1" x14ac:dyDescent="0.2">
      <c r="C208" s="61"/>
      <c r="D208" s="45" t="s">
        <v>2</v>
      </c>
      <c r="E208" s="67"/>
      <c r="F208" s="45" t="s">
        <v>2</v>
      </c>
      <c r="G208" s="45"/>
      <c r="H208" s="67"/>
      <c r="I208" s="45" t="s">
        <v>2</v>
      </c>
      <c r="J208" s="45"/>
      <c r="K208" s="67"/>
      <c r="L208" s="45" t="s">
        <v>2</v>
      </c>
      <c r="M208" s="45"/>
      <c r="N208" s="67"/>
      <c r="O208" s="45"/>
      <c r="P208" s="45"/>
      <c r="Q208" s="61"/>
      <c r="R208" s="45" t="s">
        <v>2</v>
      </c>
      <c r="S208" s="67"/>
      <c r="T208" s="45" t="s">
        <v>2</v>
      </c>
      <c r="U208" s="45"/>
      <c r="V208" s="67"/>
      <c r="W208" s="45" t="s">
        <v>2</v>
      </c>
      <c r="X208" s="45"/>
      <c r="Y208" s="67"/>
      <c r="Z208" s="45" t="s">
        <v>2</v>
      </c>
      <c r="AA208" s="45"/>
      <c r="AB208" s="67"/>
      <c r="AC208" s="45"/>
      <c r="AD208" s="45"/>
      <c r="AE208" s="61"/>
      <c r="AF208" s="45" t="s">
        <v>2</v>
      </c>
      <c r="AG208" s="67"/>
      <c r="AH208" s="45" t="s">
        <v>2</v>
      </c>
      <c r="AI208" s="45"/>
      <c r="AJ208" s="67"/>
      <c r="AK208" s="45" t="s">
        <v>2</v>
      </c>
      <c r="AL208" s="45"/>
      <c r="AM208" s="67"/>
      <c r="AN208" s="45" t="s">
        <v>2</v>
      </c>
      <c r="AP208" s="67"/>
      <c r="AQ208" s="38"/>
      <c r="AR208" s="38"/>
      <c r="AS208" s="61"/>
      <c r="AT208" s="45" t="s">
        <v>2</v>
      </c>
      <c r="AU208" s="67"/>
      <c r="AV208" s="45" t="s">
        <v>2</v>
      </c>
      <c r="AW208" s="45"/>
      <c r="AX208" s="67"/>
      <c r="AY208" s="45" t="s">
        <v>2</v>
      </c>
      <c r="AZ208" s="45"/>
      <c r="BA208" s="67"/>
      <c r="BB208" s="61"/>
      <c r="BC208" s="45" t="s">
        <v>2</v>
      </c>
      <c r="BD208" s="67"/>
    </row>
    <row r="209" spans="3:56" ht="12" customHeight="1" x14ac:dyDescent="0.2">
      <c r="C209" s="70"/>
      <c r="D209" s="49" t="s">
        <v>3</v>
      </c>
      <c r="E209" s="71"/>
      <c r="F209" s="49" t="s">
        <v>3</v>
      </c>
      <c r="G209" s="49"/>
      <c r="H209" s="71"/>
      <c r="I209" s="49" t="s">
        <v>3</v>
      </c>
      <c r="J209" s="49"/>
      <c r="K209" s="71"/>
      <c r="L209" s="49" t="s">
        <v>3</v>
      </c>
      <c r="M209" s="49"/>
      <c r="N209" s="71"/>
      <c r="O209" s="45"/>
      <c r="P209" s="45"/>
      <c r="Q209" s="70"/>
      <c r="R209" s="49" t="s">
        <v>3</v>
      </c>
      <c r="S209" s="71"/>
      <c r="T209" s="49" t="s">
        <v>3</v>
      </c>
      <c r="U209" s="49"/>
      <c r="V209" s="71"/>
      <c r="W209" s="49" t="s">
        <v>3</v>
      </c>
      <c r="X209" s="49"/>
      <c r="Y209" s="71"/>
      <c r="Z209" s="49" t="s">
        <v>3</v>
      </c>
      <c r="AA209" s="49"/>
      <c r="AB209" s="71"/>
      <c r="AC209" s="45"/>
      <c r="AD209" s="45"/>
      <c r="AE209" s="70"/>
      <c r="AF209" s="49" t="s">
        <v>3</v>
      </c>
      <c r="AG209" s="71"/>
      <c r="AH209" s="49" t="s">
        <v>3</v>
      </c>
      <c r="AI209" s="49"/>
      <c r="AJ209" s="71"/>
      <c r="AK209" s="49" t="s">
        <v>3</v>
      </c>
      <c r="AL209" s="49"/>
      <c r="AM209" s="71"/>
      <c r="AN209" s="49" t="s">
        <v>3</v>
      </c>
      <c r="AP209" s="71"/>
      <c r="AQ209" s="38"/>
      <c r="AR209" s="38"/>
      <c r="AS209" s="70"/>
      <c r="AT209" s="49" t="s">
        <v>3</v>
      </c>
      <c r="AU209" s="71"/>
      <c r="AV209" s="49" t="s">
        <v>3</v>
      </c>
      <c r="AW209" s="49"/>
      <c r="AX209" s="71"/>
      <c r="AY209" s="49" t="s">
        <v>3</v>
      </c>
      <c r="AZ209" s="49"/>
      <c r="BA209" s="71"/>
      <c r="BB209" s="70"/>
      <c r="BC209" s="49" t="s">
        <v>3</v>
      </c>
      <c r="BD209" s="71"/>
    </row>
    <row r="211" spans="3:56" ht="12" customHeight="1" x14ac:dyDescent="0.2">
      <c r="C211" s="132" t="s">
        <v>51</v>
      </c>
      <c r="D211" s="132"/>
      <c r="E211" s="132"/>
      <c r="F211" s="132"/>
      <c r="G211" s="132"/>
      <c r="H211" s="43"/>
      <c r="I211" s="43"/>
      <c r="J211" s="43"/>
      <c r="K211" s="43"/>
      <c r="L211" s="43"/>
      <c r="M211" s="43"/>
      <c r="N211" s="43"/>
      <c r="O211" s="44"/>
      <c r="P211" s="44"/>
      <c r="Q211" s="44"/>
      <c r="R211" s="44"/>
      <c r="S211" s="44"/>
      <c r="T211" s="44"/>
      <c r="U211" s="44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44"/>
      <c r="AJ211" s="44"/>
      <c r="AK211" s="44"/>
      <c r="AL211" s="44"/>
      <c r="AM211" s="44"/>
      <c r="AN211" s="44"/>
      <c r="AP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</row>
    <row r="212" spans="3:56" ht="12" customHeight="1" x14ac:dyDescent="0.2">
      <c r="C212" s="133"/>
      <c r="D212" s="133"/>
      <c r="E212" s="133"/>
      <c r="F212" s="133"/>
      <c r="G212" s="133"/>
      <c r="H212" s="44"/>
      <c r="I212" s="44"/>
      <c r="J212" s="44"/>
      <c r="K212" s="44"/>
      <c r="L212" s="44"/>
      <c r="M212" s="44"/>
      <c r="N212" s="44"/>
      <c r="O212" s="44"/>
      <c r="P212" s="44"/>
      <c r="Q212" s="44"/>
      <c r="R212" s="44"/>
      <c r="S212" s="44"/>
      <c r="T212" s="44"/>
      <c r="U212" s="44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44"/>
      <c r="AJ212" s="44"/>
      <c r="AK212" s="44"/>
      <c r="AL212" s="44"/>
      <c r="AM212" s="44"/>
      <c r="AN212" s="44"/>
      <c r="AP212" s="44"/>
      <c r="AS212" s="44"/>
      <c r="AT212" s="44"/>
      <c r="AU212" s="44"/>
      <c r="AV212" s="44"/>
      <c r="AW212" s="44"/>
      <c r="AX212" s="44"/>
      <c r="AY212" s="44"/>
      <c r="AZ212" s="44"/>
      <c r="BA212" s="44"/>
      <c r="BB212" s="44"/>
      <c r="BC212" s="44"/>
      <c r="BD212" s="44"/>
    </row>
    <row r="213" spans="3:56" ht="12" customHeight="1" thickBot="1" x14ac:dyDescent="0.25">
      <c r="C213" s="61"/>
      <c r="D213" s="45" t="s">
        <v>0</v>
      </c>
      <c r="E213" s="45"/>
      <c r="F213" s="62"/>
      <c r="G213" s="45"/>
      <c r="H213" s="46" t="s">
        <v>0</v>
      </c>
      <c r="I213" s="46"/>
      <c r="J213" s="63"/>
      <c r="K213" s="46"/>
      <c r="L213" s="46" t="s">
        <v>0</v>
      </c>
      <c r="M213" s="46"/>
      <c r="N213" s="64"/>
      <c r="O213" s="45"/>
      <c r="P213" s="45"/>
      <c r="Q213" s="65"/>
      <c r="R213" s="46" t="s">
        <v>0</v>
      </c>
      <c r="S213" s="46"/>
      <c r="T213" s="63"/>
      <c r="U213" s="46"/>
      <c r="V213" s="46" t="s">
        <v>0</v>
      </c>
      <c r="W213" s="46"/>
      <c r="X213" s="63"/>
      <c r="Y213" s="46"/>
      <c r="Z213" s="46" t="s">
        <v>0</v>
      </c>
      <c r="AA213" s="46"/>
      <c r="AB213" s="64"/>
      <c r="AC213" s="45"/>
      <c r="AD213" s="45"/>
      <c r="AE213" s="65"/>
      <c r="AF213" s="46" t="s">
        <v>0</v>
      </c>
      <c r="AG213" s="46"/>
      <c r="AH213" s="63"/>
      <c r="AI213" s="46"/>
      <c r="AJ213" s="46" t="s">
        <v>0</v>
      </c>
      <c r="AK213" s="46"/>
      <c r="AL213" s="63"/>
      <c r="AM213" s="81"/>
      <c r="AN213" s="46" t="s">
        <v>0</v>
      </c>
      <c r="AP213" s="64"/>
      <c r="AS213" s="65"/>
      <c r="AT213" s="46" t="s">
        <v>0</v>
      </c>
      <c r="AU213" s="46"/>
      <c r="AV213" s="63"/>
      <c r="AW213" s="46"/>
      <c r="AX213" s="46" t="s">
        <v>0</v>
      </c>
      <c r="AY213" s="46"/>
      <c r="AZ213" s="63"/>
      <c r="BA213" s="81"/>
      <c r="BB213" s="46"/>
      <c r="BC213" s="46" t="s">
        <v>0</v>
      </c>
      <c r="BD213" s="64"/>
    </row>
    <row r="214" spans="3:56" ht="12" customHeight="1" x14ac:dyDescent="0.2">
      <c r="C214" s="61"/>
      <c r="D214" s="45" t="s">
        <v>1</v>
      </c>
      <c r="E214" s="45"/>
      <c r="F214" s="62"/>
      <c r="G214" s="47"/>
      <c r="H214" s="47" t="s">
        <v>1</v>
      </c>
      <c r="I214" s="47"/>
      <c r="J214" s="66"/>
      <c r="K214" s="45"/>
      <c r="L214" s="45" t="s">
        <v>1</v>
      </c>
      <c r="M214" s="45"/>
      <c r="N214" s="67"/>
      <c r="O214" s="45"/>
      <c r="P214" s="45"/>
      <c r="Q214" s="61"/>
      <c r="R214" s="45" t="s">
        <v>1</v>
      </c>
      <c r="S214" s="45"/>
      <c r="T214" s="62"/>
      <c r="U214" s="47"/>
      <c r="V214" s="47" t="s">
        <v>1</v>
      </c>
      <c r="W214" s="47"/>
      <c r="X214" s="66"/>
      <c r="Y214" s="45"/>
      <c r="Z214" s="45" t="s">
        <v>1</v>
      </c>
      <c r="AA214" s="45"/>
      <c r="AB214" s="67"/>
      <c r="AC214" s="45"/>
      <c r="AD214" s="45"/>
      <c r="AE214" s="61"/>
      <c r="AF214" s="45" t="s">
        <v>1</v>
      </c>
      <c r="AG214" s="45"/>
      <c r="AH214" s="62"/>
      <c r="AI214" s="47"/>
      <c r="AJ214" s="47" t="s">
        <v>1</v>
      </c>
      <c r="AK214" s="47"/>
      <c r="AL214" s="66"/>
      <c r="AM214" s="82"/>
      <c r="AN214" s="45" t="s">
        <v>1</v>
      </c>
      <c r="AP214" s="67"/>
      <c r="AS214" s="61"/>
      <c r="AT214" s="45" t="s">
        <v>1</v>
      </c>
      <c r="AU214" s="45"/>
      <c r="AV214" s="62"/>
      <c r="AW214" s="47"/>
      <c r="AX214" s="47" t="s">
        <v>1</v>
      </c>
      <c r="AY214" s="47"/>
      <c r="AZ214" s="66"/>
      <c r="BA214" s="82"/>
      <c r="BB214" s="45"/>
      <c r="BC214" s="45" t="s">
        <v>1</v>
      </c>
      <c r="BD214" s="67"/>
    </row>
    <row r="215" spans="3:56" ht="12" customHeight="1" x14ac:dyDescent="0.2">
      <c r="C215" s="61"/>
      <c r="D215" s="45" t="s">
        <v>2</v>
      </c>
      <c r="E215" s="45"/>
      <c r="F215" s="62"/>
      <c r="G215" s="45"/>
      <c r="H215" s="45" t="s">
        <v>2</v>
      </c>
      <c r="I215" s="45"/>
      <c r="J215" s="62"/>
      <c r="K215" s="45"/>
      <c r="L215" s="45" t="s">
        <v>2</v>
      </c>
      <c r="M215" s="45"/>
      <c r="N215" s="67"/>
      <c r="O215" s="45"/>
      <c r="P215" s="45"/>
      <c r="Q215" s="61"/>
      <c r="R215" s="45" t="s">
        <v>2</v>
      </c>
      <c r="S215" s="45"/>
      <c r="T215" s="62"/>
      <c r="U215" s="45"/>
      <c r="V215" s="45" t="s">
        <v>2</v>
      </c>
      <c r="W215" s="45"/>
      <c r="X215" s="62"/>
      <c r="Y215" s="45"/>
      <c r="Z215" s="45" t="s">
        <v>2</v>
      </c>
      <c r="AA215" s="45"/>
      <c r="AB215" s="67"/>
      <c r="AC215" s="45"/>
      <c r="AD215" s="45"/>
      <c r="AE215" s="61"/>
      <c r="AF215" s="45" t="s">
        <v>2</v>
      </c>
      <c r="AG215" s="45"/>
      <c r="AH215" s="62"/>
      <c r="AI215" s="45"/>
      <c r="AJ215" s="45" t="s">
        <v>2</v>
      </c>
      <c r="AK215" s="45"/>
      <c r="AL215" s="62"/>
      <c r="AM215" s="82"/>
      <c r="AN215" s="45" t="s">
        <v>2</v>
      </c>
      <c r="AP215" s="67"/>
      <c r="AS215" s="61"/>
      <c r="AT215" s="45" t="s">
        <v>2</v>
      </c>
      <c r="AU215" s="45"/>
      <c r="AV215" s="62"/>
      <c r="AW215" s="45"/>
      <c r="AX215" s="45" t="s">
        <v>2</v>
      </c>
      <c r="AY215" s="45"/>
      <c r="AZ215" s="62"/>
      <c r="BA215" s="82"/>
      <c r="BB215" s="45"/>
      <c r="BC215" s="45" t="s">
        <v>2</v>
      </c>
      <c r="BD215" s="67"/>
    </row>
    <row r="216" spans="3:56" ht="12" customHeight="1" thickBot="1" x14ac:dyDescent="0.25">
      <c r="C216" s="61"/>
      <c r="D216" s="45" t="s">
        <v>3</v>
      </c>
      <c r="E216" s="45"/>
      <c r="F216" s="68"/>
      <c r="G216" s="48"/>
      <c r="H216" s="48" t="s">
        <v>3</v>
      </c>
      <c r="I216" s="48"/>
      <c r="J216" s="69"/>
      <c r="K216" s="45"/>
      <c r="L216" s="45" t="s">
        <v>3</v>
      </c>
      <c r="M216" s="45"/>
      <c r="N216" s="67"/>
      <c r="O216" s="45"/>
      <c r="P216" s="45"/>
      <c r="Q216" s="61"/>
      <c r="R216" s="45" t="s">
        <v>3</v>
      </c>
      <c r="S216" s="45"/>
      <c r="T216" s="68"/>
      <c r="U216" s="48"/>
      <c r="V216" s="48" t="s">
        <v>3</v>
      </c>
      <c r="W216" s="48"/>
      <c r="X216" s="69"/>
      <c r="Y216" s="45"/>
      <c r="Z216" s="45" t="s">
        <v>3</v>
      </c>
      <c r="AA216" s="45"/>
      <c r="AB216" s="67"/>
      <c r="AC216" s="45"/>
      <c r="AD216" s="45"/>
      <c r="AE216" s="61"/>
      <c r="AF216" s="45" t="s">
        <v>3</v>
      </c>
      <c r="AG216" s="45"/>
      <c r="AH216" s="68"/>
      <c r="AI216" s="48"/>
      <c r="AJ216" s="48" t="s">
        <v>3</v>
      </c>
      <c r="AK216" s="48"/>
      <c r="AL216" s="69"/>
      <c r="AM216" s="83"/>
      <c r="AN216" s="45" t="s">
        <v>3</v>
      </c>
      <c r="AP216" s="67"/>
      <c r="AS216" s="61"/>
      <c r="AT216" s="45" t="s">
        <v>3</v>
      </c>
      <c r="AU216" s="45"/>
      <c r="AV216" s="68"/>
      <c r="AW216" s="48"/>
      <c r="AX216" s="48" t="s">
        <v>3</v>
      </c>
      <c r="AY216" s="48"/>
      <c r="AZ216" s="69"/>
      <c r="BA216" s="83"/>
      <c r="BB216" s="45"/>
      <c r="BC216" s="45" t="s">
        <v>3</v>
      </c>
      <c r="BD216" s="67"/>
    </row>
    <row r="217" spans="3:56" ht="12" customHeight="1" x14ac:dyDescent="0.2">
      <c r="C217" s="65"/>
      <c r="D217" s="46" t="s">
        <v>0</v>
      </c>
      <c r="E217" s="46"/>
      <c r="F217" s="67"/>
      <c r="G217" s="45"/>
      <c r="H217" s="40" t="s">
        <v>0</v>
      </c>
      <c r="I217" s="45"/>
      <c r="J217" s="62"/>
      <c r="K217" s="46"/>
      <c r="L217" s="46" t="s">
        <v>0</v>
      </c>
      <c r="M217" s="46"/>
      <c r="N217" s="64"/>
      <c r="O217" s="45"/>
      <c r="P217" s="45"/>
      <c r="Q217" s="65"/>
      <c r="R217" s="46" t="s">
        <v>0</v>
      </c>
      <c r="S217" s="46"/>
      <c r="T217" s="67"/>
      <c r="U217" s="45"/>
      <c r="V217" s="40" t="s">
        <v>0</v>
      </c>
      <c r="W217" s="45"/>
      <c r="X217" s="62"/>
      <c r="Y217" s="46"/>
      <c r="Z217" s="46" t="s">
        <v>0</v>
      </c>
      <c r="AA217" s="46"/>
      <c r="AB217" s="64"/>
      <c r="AC217" s="45"/>
      <c r="AD217" s="45"/>
      <c r="AE217" s="65"/>
      <c r="AF217" s="46" t="s">
        <v>0</v>
      </c>
      <c r="AG217" s="46"/>
      <c r="AH217" s="67"/>
      <c r="AI217" s="45"/>
      <c r="AJ217" s="40" t="s">
        <v>0</v>
      </c>
      <c r="AK217" s="45"/>
      <c r="AL217" s="62"/>
      <c r="AM217" s="46"/>
      <c r="AN217" s="46" t="s">
        <v>0</v>
      </c>
      <c r="AP217" s="64"/>
      <c r="AS217" s="65"/>
      <c r="AT217" s="46" t="s">
        <v>0</v>
      </c>
      <c r="AU217" s="46"/>
      <c r="AV217" s="67"/>
      <c r="AW217" s="45"/>
      <c r="AX217" s="40" t="s">
        <v>0</v>
      </c>
      <c r="AY217" s="45"/>
      <c r="AZ217" s="62"/>
      <c r="BA217" s="46"/>
      <c r="BB217" s="46"/>
      <c r="BC217" s="46" t="s">
        <v>0</v>
      </c>
      <c r="BD217" s="64"/>
    </row>
    <row r="218" spans="3:56" ht="12" customHeight="1" x14ac:dyDescent="0.2">
      <c r="C218" s="61"/>
      <c r="D218" s="45" t="s">
        <v>1</v>
      </c>
      <c r="E218" s="45"/>
      <c r="F218" s="67"/>
      <c r="G218" s="45"/>
      <c r="H218" s="38" t="s">
        <v>1</v>
      </c>
      <c r="I218" s="45"/>
      <c r="J218" s="67"/>
      <c r="K218" s="45"/>
      <c r="L218" s="45" t="s">
        <v>1</v>
      </c>
      <c r="M218" s="45">
        <v>1</v>
      </c>
      <c r="N218" s="67"/>
      <c r="O218" s="45"/>
      <c r="P218" s="45"/>
      <c r="Q218" s="61"/>
      <c r="R218" s="45" t="s">
        <v>1</v>
      </c>
      <c r="S218" s="45"/>
      <c r="T218" s="67"/>
      <c r="U218" s="45"/>
      <c r="V218" s="38" t="s">
        <v>1</v>
      </c>
      <c r="W218" s="45"/>
      <c r="X218" s="67"/>
      <c r="Y218" s="45"/>
      <c r="Z218" s="45" t="s">
        <v>1</v>
      </c>
      <c r="AA218" s="45">
        <v>1</v>
      </c>
      <c r="AB218" s="67"/>
      <c r="AC218" s="45"/>
      <c r="AD218" s="45"/>
      <c r="AE218" s="61"/>
      <c r="AF218" s="45" t="s">
        <v>1</v>
      </c>
      <c r="AG218" s="45"/>
      <c r="AH218" s="67"/>
      <c r="AI218" s="45"/>
      <c r="AJ218" s="38" t="s">
        <v>1</v>
      </c>
      <c r="AK218" s="45"/>
      <c r="AL218" s="67"/>
      <c r="AM218" s="45"/>
      <c r="AN218" s="45" t="s">
        <v>1</v>
      </c>
      <c r="AP218" s="67"/>
      <c r="AS218" s="61"/>
      <c r="AT218" s="45" t="s">
        <v>1</v>
      </c>
      <c r="AU218" s="45"/>
      <c r="AV218" s="67"/>
      <c r="AW218" s="45"/>
      <c r="AX218" s="38" t="s">
        <v>1</v>
      </c>
      <c r="AY218" s="45"/>
      <c r="AZ218" s="67"/>
      <c r="BA218" s="61"/>
      <c r="BB218" s="45"/>
      <c r="BC218" s="45" t="s">
        <v>1</v>
      </c>
      <c r="BD218" s="67"/>
    </row>
    <row r="219" spans="3:56" ht="12" customHeight="1" x14ac:dyDescent="0.2">
      <c r="C219" s="61"/>
      <c r="D219" s="45" t="s">
        <v>2</v>
      </c>
      <c r="E219" s="45"/>
      <c r="F219" s="67"/>
      <c r="G219" s="45"/>
      <c r="H219" s="38" t="s">
        <v>2</v>
      </c>
      <c r="I219" s="45"/>
      <c r="J219" s="67"/>
      <c r="K219" s="45"/>
      <c r="L219" s="45" t="s">
        <v>2</v>
      </c>
      <c r="M219" s="45"/>
      <c r="N219" s="67"/>
      <c r="O219" s="45"/>
      <c r="P219" s="45"/>
      <c r="Q219" s="61"/>
      <c r="R219" s="45" t="s">
        <v>2</v>
      </c>
      <c r="S219" s="45"/>
      <c r="T219" s="67"/>
      <c r="U219" s="45"/>
      <c r="V219" s="38" t="s">
        <v>2</v>
      </c>
      <c r="W219" s="45"/>
      <c r="X219" s="67"/>
      <c r="Y219" s="45"/>
      <c r="Z219" s="45" t="s">
        <v>2</v>
      </c>
      <c r="AA219" s="45"/>
      <c r="AB219" s="67"/>
      <c r="AC219" s="45"/>
      <c r="AD219" s="45"/>
      <c r="AE219" s="61"/>
      <c r="AF219" s="45" t="s">
        <v>2</v>
      </c>
      <c r="AG219" s="45"/>
      <c r="AH219" s="67"/>
      <c r="AI219" s="45"/>
      <c r="AJ219" s="38" t="s">
        <v>2</v>
      </c>
      <c r="AK219" s="45"/>
      <c r="AL219" s="67"/>
      <c r="AM219" s="45"/>
      <c r="AN219" s="45" t="s">
        <v>2</v>
      </c>
      <c r="AO219">
        <v>2</v>
      </c>
      <c r="AP219" s="67"/>
      <c r="AS219" s="61"/>
      <c r="AT219" s="45" t="s">
        <v>2</v>
      </c>
      <c r="AU219" s="45"/>
      <c r="AV219" s="67"/>
      <c r="AW219" s="45"/>
      <c r="AX219" s="38" t="s">
        <v>2</v>
      </c>
      <c r="AY219" s="45"/>
      <c r="AZ219" s="67"/>
      <c r="BA219" s="61"/>
      <c r="BB219" s="45"/>
      <c r="BC219" s="45" t="s">
        <v>2</v>
      </c>
      <c r="BD219" s="67"/>
    </row>
    <row r="220" spans="3:56" ht="12" customHeight="1" x14ac:dyDescent="0.2">
      <c r="C220" s="70"/>
      <c r="D220" s="49" t="s">
        <v>3</v>
      </c>
      <c r="E220" s="49"/>
      <c r="F220" s="71"/>
      <c r="G220" s="49"/>
      <c r="H220" s="39" t="s">
        <v>3</v>
      </c>
      <c r="I220" s="49"/>
      <c r="J220" s="71"/>
      <c r="K220" s="49"/>
      <c r="L220" s="49" t="s">
        <v>3</v>
      </c>
      <c r="M220" s="49"/>
      <c r="N220" s="71"/>
      <c r="O220" s="45"/>
      <c r="P220" s="45"/>
      <c r="Q220" s="70"/>
      <c r="R220" s="49" t="s">
        <v>3</v>
      </c>
      <c r="S220" s="49"/>
      <c r="T220" s="71"/>
      <c r="U220" s="49"/>
      <c r="V220" s="39" t="s">
        <v>3</v>
      </c>
      <c r="W220" s="49"/>
      <c r="X220" s="71"/>
      <c r="Y220" s="49"/>
      <c r="Z220" s="49" t="s">
        <v>3</v>
      </c>
      <c r="AA220" s="49"/>
      <c r="AB220" s="71"/>
      <c r="AC220" s="45"/>
      <c r="AD220" s="45"/>
      <c r="AE220" s="70"/>
      <c r="AF220" s="49" t="s">
        <v>3</v>
      </c>
      <c r="AG220" s="49"/>
      <c r="AH220" s="71"/>
      <c r="AI220" s="49"/>
      <c r="AJ220" s="39" t="s">
        <v>3</v>
      </c>
      <c r="AK220" s="49"/>
      <c r="AL220" s="71"/>
      <c r="AM220" s="49"/>
      <c r="AN220" s="49" t="s">
        <v>3</v>
      </c>
      <c r="AP220" s="71"/>
      <c r="AS220" s="70"/>
      <c r="AT220" s="49" t="s">
        <v>3</v>
      </c>
      <c r="AU220" s="49"/>
      <c r="AV220" s="71"/>
      <c r="AW220" s="49"/>
      <c r="AX220" s="39" t="s">
        <v>3</v>
      </c>
      <c r="AY220" s="49"/>
      <c r="AZ220" s="71"/>
      <c r="BA220" s="70"/>
      <c r="BB220" s="49"/>
      <c r="BC220" s="49" t="s">
        <v>3</v>
      </c>
      <c r="BD220" s="71"/>
    </row>
    <row r="221" spans="3:56" ht="12" customHeight="1" x14ac:dyDescent="0.2">
      <c r="C221" s="61"/>
      <c r="D221" s="45" t="s">
        <v>0</v>
      </c>
      <c r="E221" s="67"/>
      <c r="F221" s="45" t="s">
        <v>0</v>
      </c>
      <c r="G221" s="45"/>
      <c r="H221" s="67"/>
      <c r="I221" s="45" t="s">
        <v>0</v>
      </c>
      <c r="J221" s="45"/>
      <c r="K221" s="67"/>
      <c r="L221" s="45" t="s">
        <v>0</v>
      </c>
      <c r="M221" s="45"/>
      <c r="N221" s="67"/>
      <c r="O221" s="45"/>
      <c r="P221" s="45"/>
      <c r="Q221" s="61"/>
      <c r="R221" s="45" t="s">
        <v>0</v>
      </c>
      <c r="S221" s="67"/>
      <c r="T221" s="45" t="s">
        <v>0</v>
      </c>
      <c r="U221" s="45"/>
      <c r="V221" s="67"/>
      <c r="W221" s="45" t="s">
        <v>0</v>
      </c>
      <c r="X221" s="45"/>
      <c r="Y221" s="67"/>
      <c r="Z221" s="45" t="s">
        <v>0</v>
      </c>
      <c r="AA221" s="45"/>
      <c r="AB221" s="67"/>
      <c r="AC221" s="45"/>
      <c r="AD221" s="45"/>
      <c r="AE221" s="61"/>
      <c r="AF221" s="45" t="s">
        <v>0</v>
      </c>
      <c r="AG221" s="67"/>
      <c r="AH221" s="45" t="s">
        <v>0</v>
      </c>
      <c r="AI221" s="45"/>
      <c r="AJ221" s="67"/>
      <c r="AK221" s="45" t="s">
        <v>0</v>
      </c>
      <c r="AL221" s="45"/>
      <c r="AM221" s="67"/>
      <c r="AN221" s="45" t="s">
        <v>0</v>
      </c>
      <c r="AP221" s="67"/>
      <c r="AS221" s="61"/>
      <c r="AT221" s="45" t="s">
        <v>0</v>
      </c>
      <c r="AU221" s="67"/>
      <c r="AV221" s="45" t="s">
        <v>0</v>
      </c>
      <c r="AW221" s="45"/>
      <c r="AX221" s="67"/>
      <c r="AY221" s="45" t="s">
        <v>0</v>
      </c>
      <c r="AZ221" s="45"/>
      <c r="BA221" s="67"/>
      <c r="BB221" s="61"/>
      <c r="BC221" s="45" t="s">
        <v>0</v>
      </c>
      <c r="BD221" s="67"/>
    </row>
    <row r="222" spans="3:56" ht="12" customHeight="1" x14ac:dyDescent="0.2">
      <c r="C222" s="61"/>
      <c r="D222" s="45" t="s">
        <v>1</v>
      </c>
      <c r="E222" s="67"/>
      <c r="F222" s="45" t="s">
        <v>1</v>
      </c>
      <c r="G222" s="45"/>
      <c r="H222" s="67"/>
      <c r="I222" s="45" t="s">
        <v>1</v>
      </c>
      <c r="J222" s="45"/>
      <c r="K222" s="67"/>
      <c r="L222" s="45" t="s">
        <v>1</v>
      </c>
      <c r="M222" s="45"/>
      <c r="N222" s="67"/>
      <c r="O222" s="45"/>
      <c r="P222" s="45"/>
      <c r="Q222" s="61"/>
      <c r="R222" s="45" t="s">
        <v>1</v>
      </c>
      <c r="S222" s="67"/>
      <c r="T222" s="45" t="s">
        <v>1</v>
      </c>
      <c r="U222" s="45"/>
      <c r="V222" s="67"/>
      <c r="W222" s="45" t="s">
        <v>1</v>
      </c>
      <c r="X222" s="45">
        <v>1</v>
      </c>
      <c r="Y222" s="67"/>
      <c r="Z222" s="45" t="s">
        <v>1</v>
      </c>
      <c r="AA222" s="45"/>
      <c r="AB222" s="67"/>
      <c r="AC222" s="45"/>
      <c r="AD222" s="45"/>
      <c r="AE222" s="61"/>
      <c r="AF222" s="45" t="s">
        <v>1</v>
      </c>
      <c r="AG222" s="67"/>
      <c r="AH222" s="45" t="s">
        <v>1</v>
      </c>
      <c r="AI222" s="45"/>
      <c r="AJ222" s="67"/>
      <c r="AK222" s="45" t="s">
        <v>1</v>
      </c>
      <c r="AL222" s="45"/>
      <c r="AM222" s="67"/>
      <c r="AN222" s="45" t="s">
        <v>1</v>
      </c>
      <c r="AP222" s="67"/>
      <c r="AS222" s="61"/>
      <c r="AT222" s="45" t="s">
        <v>1</v>
      </c>
      <c r="AU222" s="67"/>
      <c r="AV222" s="45" t="s">
        <v>1</v>
      </c>
      <c r="AW222" s="45"/>
      <c r="AX222" s="67"/>
      <c r="AY222" s="45" t="s">
        <v>1</v>
      </c>
      <c r="AZ222" s="45"/>
      <c r="BA222" s="67"/>
      <c r="BB222" s="61"/>
      <c r="BC222" s="45" t="s">
        <v>1</v>
      </c>
      <c r="BD222" s="67"/>
    </row>
    <row r="223" spans="3:56" ht="12" customHeight="1" x14ac:dyDescent="0.2">
      <c r="C223" s="61"/>
      <c r="D223" s="45" t="s">
        <v>2</v>
      </c>
      <c r="E223" s="67"/>
      <c r="F223" s="45" t="s">
        <v>2</v>
      </c>
      <c r="G223" s="45"/>
      <c r="H223" s="67"/>
      <c r="I223" s="45" t="s">
        <v>2</v>
      </c>
      <c r="J223" s="45">
        <v>1</v>
      </c>
      <c r="K223" s="67"/>
      <c r="L223" s="45" t="s">
        <v>2</v>
      </c>
      <c r="M223" s="45"/>
      <c r="N223" s="67"/>
      <c r="O223" s="45"/>
      <c r="P223" s="45"/>
      <c r="Q223" s="61"/>
      <c r="R223" s="45" t="s">
        <v>2</v>
      </c>
      <c r="S223" s="67"/>
      <c r="T223" s="45" t="s">
        <v>2</v>
      </c>
      <c r="U223" s="45"/>
      <c r="V223" s="67"/>
      <c r="W223" s="45" t="s">
        <v>2</v>
      </c>
      <c r="X223" s="45">
        <v>1</v>
      </c>
      <c r="Y223" s="67"/>
      <c r="Z223" s="45" t="s">
        <v>2</v>
      </c>
      <c r="AA223" s="45"/>
      <c r="AB223" s="67"/>
      <c r="AC223" s="45"/>
      <c r="AD223" s="45"/>
      <c r="AE223" s="61"/>
      <c r="AF223" s="45" t="s">
        <v>2</v>
      </c>
      <c r="AG223" s="67"/>
      <c r="AH223" s="45" t="s">
        <v>2</v>
      </c>
      <c r="AI223" s="45"/>
      <c r="AJ223" s="67"/>
      <c r="AK223" s="45" t="s">
        <v>2</v>
      </c>
      <c r="AL223" s="45"/>
      <c r="AM223" s="67"/>
      <c r="AN223" s="45" t="s">
        <v>2</v>
      </c>
      <c r="AP223" s="67"/>
      <c r="AS223" s="61"/>
      <c r="AT223" s="45" t="s">
        <v>2</v>
      </c>
      <c r="AU223" s="67"/>
      <c r="AV223" s="45" t="s">
        <v>2</v>
      </c>
      <c r="AW223" s="45"/>
      <c r="AX223" s="67"/>
      <c r="AY223" s="45" t="s">
        <v>2</v>
      </c>
      <c r="AZ223" s="45"/>
      <c r="BA223" s="67"/>
      <c r="BB223" s="61"/>
      <c r="BC223" s="45" t="s">
        <v>2</v>
      </c>
      <c r="BD223" s="67"/>
    </row>
    <row r="224" spans="3:56" ht="12" customHeight="1" x14ac:dyDescent="0.2">
      <c r="C224" s="70"/>
      <c r="D224" s="49" t="s">
        <v>3</v>
      </c>
      <c r="E224" s="71"/>
      <c r="F224" s="49" t="s">
        <v>3</v>
      </c>
      <c r="G224" s="49"/>
      <c r="H224" s="71"/>
      <c r="I224" s="49" t="s">
        <v>3</v>
      </c>
      <c r="J224" s="49"/>
      <c r="K224" s="71"/>
      <c r="L224" s="49" t="s">
        <v>3</v>
      </c>
      <c r="M224" s="49"/>
      <c r="N224" s="71"/>
      <c r="O224" s="45"/>
      <c r="P224" s="45"/>
      <c r="Q224" s="70"/>
      <c r="R224" s="49" t="s">
        <v>3</v>
      </c>
      <c r="S224" s="71"/>
      <c r="T224" s="49" t="s">
        <v>3</v>
      </c>
      <c r="U224" s="49"/>
      <c r="V224" s="71"/>
      <c r="W224" s="49" t="s">
        <v>3</v>
      </c>
      <c r="X224" s="49"/>
      <c r="Y224" s="71"/>
      <c r="Z224" s="49" t="s">
        <v>3</v>
      </c>
      <c r="AA224" s="49"/>
      <c r="AB224" s="71"/>
      <c r="AC224" s="45"/>
      <c r="AD224" s="45"/>
      <c r="AE224" s="70"/>
      <c r="AF224" s="49" t="s">
        <v>3</v>
      </c>
      <c r="AG224" s="71"/>
      <c r="AH224" s="49" t="s">
        <v>3</v>
      </c>
      <c r="AI224" s="49"/>
      <c r="AJ224" s="71"/>
      <c r="AK224" s="49" t="s">
        <v>3</v>
      </c>
      <c r="AL224" s="49"/>
      <c r="AM224" s="71"/>
      <c r="AN224" s="49" t="s">
        <v>3</v>
      </c>
      <c r="AP224" s="71"/>
      <c r="AS224" s="70"/>
      <c r="AT224" s="49" t="s">
        <v>3</v>
      </c>
      <c r="AU224" s="71"/>
      <c r="AV224" s="49" t="s">
        <v>3</v>
      </c>
      <c r="AW224" s="49"/>
      <c r="AX224" s="71"/>
      <c r="AY224" s="49" t="s">
        <v>3</v>
      </c>
      <c r="AZ224" s="49"/>
      <c r="BA224" s="71"/>
      <c r="BB224" s="70"/>
      <c r="BC224" s="49" t="s">
        <v>3</v>
      </c>
      <c r="BD224" s="71"/>
    </row>
    <row r="225" spans="3:56" ht="12" customHeight="1" x14ac:dyDescent="0.2"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  <c r="AA225" s="38"/>
      <c r="AB225" s="38"/>
      <c r="AC225" s="38"/>
      <c r="AD225" s="38"/>
      <c r="AE225" s="38"/>
      <c r="AF225" s="38"/>
      <c r="AG225" s="38"/>
      <c r="AH225" s="38"/>
      <c r="AI225" s="38"/>
      <c r="AJ225" s="38"/>
      <c r="AK225" s="38"/>
      <c r="AL225" s="38"/>
      <c r="AM225" s="38"/>
      <c r="AN225" s="38"/>
      <c r="AP225" s="38"/>
      <c r="AS225" s="38"/>
      <c r="AT225" s="38"/>
      <c r="AU225" s="38"/>
      <c r="AV225" s="38"/>
      <c r="AW225" s="38"/>
      <c r="AX225" s="38"/>
      <c r="AY225" s="38"/>
      <c r="AZ225" s="38"/>
      <c r="BA225" s="38"/>
      <c r="BB225" s="38"/>
      <c r="BC225" s="38"/>
      <c r="BD225" s="38"/>
    </row>
    <row r="226" spans="3:56" ht="12" customHeight="1" x14ac:dyDescent="0.2">
      <c r="C226" s="132" t="s">
        <v>52</v>
      </c>
      <c r="D226" s="132"/>
      <c r="E226" s="132"/>
      <c r="F226" s="132"/>
      <c r="G226" s="132"/>
      <c r="H226" s="43"/>
      <c r="I226" s="43"/>
      <c r="J226" s="43"/>
      <c r="K226" s="43"/>
      <c r="L226" s="43"/>
      <c r="M226" s="43"/>
      <c r="N226" s="43"/>
      <c r="O226" s="44"/>
      <c r="P226" s="44"/>
      <c r="Q226" s="44"/>
      <c r="R226" s="44"/>
      <c r="S226" s="44"/>
      <c r="T226" s="44"/>
      <c r="U226" s="44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44"/>
      <c r="AJ226" s="44"/>
      <c r="AK226" s="44"/>
      <c r="AL226" s="44"/>
      <c r="AM226" s="44"/>
      <c r="AN226" s="44"/>
      <c r="AP226" s="44"/>
      <c r="AS226" s="44"/>
      <c r="AT226" s="44"/>
      <c r="AU226" s="44"/>
      <c r="AV226" s="44"/>
      <c r="AW226" s="44"/>
      <c r="AX226" s="44"/>
      <c r="AY226" s="44"/>
      <c r="AZ226" s="44"/>
      <c r="BA226" s="44"/>
      <c r="BB226" s="44"/>
      <c r="BC226" s="44"/>
      <c r="BD226" s="44"/>
    </row>
    <row r="227" spans="3:56" ht="12" customHeight="1" x14ac:dyDescent="0.2">
      <c r="C227" s="133"/>
      <c r="D227" s="133"/>
      <c r="E227" s="133"/>
      <c r="F227" s="133"/>
      <c r="G227" s="133"/>
      <c r="H227" s="44"/>
      <c r="I227" s="44"/>
      <c r="J227" s="44"/>
      <c r="K227" s="44"/>
      <c r="L227" s="44"/>
      <c r="M227" s="44"/>
      <c r="N227" s="44"/>
      <c r="O227" s="44"/>
      <c r="P227" s="44"/>
      <c r="Q227" s="44"/>
      <c r="R227" s="44"/>
      <c r="S227" s="44"/>
      <c r="T227" s="44"/>
      <c r="U227" s="44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44"/>
      <c r="AJ227" s="44"/>
      <c r="AK227" s="44"/>
      <c r="AL227" s="44"/>
      <c r="AM227" s="44"/>
      <c r="AN227" s="44"/>
      <c r="AP227" s="44"/>
      <c r="AS227" s="44"/>
      <c r="AT227" s="44"/>
      <c r="AU227" s="44"/>
      <c r="AV227" s="44"/>
      <c r="AW227" s="44"/>
      <c r="AX227" s="44"/>
      <c r="AY227" s="44"/>
      <c r="AZ227" s="44"/>
      <c r="BA227" s="44"/>
      <c r="BB227" s="44"/>
      <c r="BC227" s="44"/>
      <c r="BD227" s="44"/>
    </row>
    <row r="228" spans="3:56" ht="12" customHeight="1" thickBot="1" x14ac:dyDescent="0.25">
      <c r="C228" s="61"/>
      <c r="D228" s="45" t="s">
        <v>0</v>
      </c>
      <c r="E228" s="45"/>
      <c r="F228" s="62"/>
      <c r="G228" s="45"/>
      <c r="H228" s="46" t="s">
        <v>0</v>
      </c>
      <c r="I228" s="46"/>
      <c r="J228" s="63"/>
      <c r="K228" s="46"/>
      <c r="L228" s="46" t="s">
        <v>0</v>
      </c>
      <c r="M228" s="46"/>
      <c r="N228" s="64"/>
      <c r="O228" s="45"/>
      <c r="P228" s="45"/>
      <c r="Q228" s="65"/>
      <c r="R228" s="46" t="s">
        <v>0</v>
      </c>
      <c r="S228" s="46"/>
      <c r="T228" s="63"/>
      <c r="U228" s="46"/>
      <c r="V228" s="46" t="s">
        <v>0</v>
      </c>
      <c r="W228" s="46"/>
      <c r="X228" s="63"/>
      <c r="Y228" s="46"/>
      <c r="Z228" s="46" t="s">
        <v>0</v>
      </c>
      <c r="AA228" s="46"/>
      <c r="AB228" s="64"/>
      <c r="AC228" s="45"/>
      <c r="AD228" s="45"/>
      <c r="AE228" s="65"/>
      <c r="AF228" s="46" t="s">
        <v>0</v>
      </c>
      <c r="AG228" s="46"/>
      <c r="AH228" s="63"/>
      <c r="AI228" s="46"/>
      <c r="AJ228" s="46" t="s">
        <v>0</v>
      </c>
      <c r="AK228" s="46"/>
      <c r="AL228" s="63"/>
      <c r="AM228" s="81"/>
      <c r="AN228" s="46" t="s">
        <v>0</v>
      </c>
      <c r="AP228" s="64"/>
      <c r="AQ228" s="38"/>
      <c r="AS228" s="65"/>
      <c r="AT228" s="46" t="s">
        <v>0</v>
      </c>
      <c r="AU228" s="46"/>
      <c r="AV228" s="63"/>
      <c r="AW228" s="46"/>
      <c r="AX228" s="46" t="s">
        <v>0</v>
      </c>
      <c r="AY228" s="46"/>
      <c r="AZ228" s="63"/>
      <c r="BA228" s="81"/>
      <c r="BB228" s="46"/>
      <c r="BC228" s="46" t="s">
        <v>0</v>
      </c>
      <c r="BD228" s="64"/>
    </row>
    <row r="229" spans="3:56" ht="12" customHeight="1" x14ac:dyDescent="0.2">
      <c r="C229" s="61"/>
      <c r="D229" s="45" t="s">
        <v>1</v>
      </c>
      <c r="E229" s="45"/>
      <c r="F229" s="62"/>
      <c r="G229" s="47"/>
      <c r="H229" s="47" t="s">
        <v>1</v>
      </c>
      <c r="I229" s="47"/>
      <c r="J229" s="66"/>
      <c r="K229" s="45"/>
      <c r="L229" s="45" t="s">
        <v>1</v>
      </c>
      <c r="M229" s="45"/>
      <c r="N229" s="67"/>
      <c r="O229" s="45"/>
      <c r="P229" s="45"/>
      <c r="Q229" s="61"/>
      <c r="R229" s="45" t="s">
        <v>1</v>
      </c>
      <c r="S229" s="45"/>
      <c r="T229" s="62"/>
      <c r="U229" s="47"/>
      <c r="V229" s="47" t="s">
        <v>1</v>
      </c>
      <c r="W229" s="47"/>
      <c r="X229" s="66"/>
      <c r="Y229" s="45"/>
      <c r="Z229" s="45" t="s">
        <v>1</v>
      </c>
      <c r="AA229" s="45"/>
      <c r="AB229" s="67"/>
      <c r="AC229" s="45"/>
      <c r="AD229" s="45"/>
      <c r="AE229" s="61"/>
      <c r="AF229" s="45" t="s">
        <v>1</v>
      </c>
      <c r="AG229" s="45"/>
      <c r="AH229" s="62"/>
      <c r="AI229" s="47"/>
      <c r="AJ229" s="47" t="s">
        <v>1</v>
      </c>
      <c r="AK229" s="47"/>
      <c r="AL229" s="66"/>
      <c r="AM229" s="82"/>
      <c r="AN229" s="45" t="s">
        <v>1</v>
      </c>
      <c r="AP229" s="67"/>
      <c r="AQ229" s="38"/>
      <c r="AS229" s="61"/>
      <c r="AT229" s="45" t="s">
        <v>1</v>
      </c>
      <c r="AU229" s="45"/>
      <c r="AV229" s="62"/>
      <c r="AW229" s="47"/>
      <c r="AX229" s="47" t="s">
        <v>1</v>
      </c>
      <c r="AY229" s="47"/>
      <c r="AZ229" s="66"/>
      <c r="BA229" s="82"/>
      <c r="BB229" s="45"/>
      <c r="BC229" s="45" t="s">
        <v>1</v>
      </c>
      <c r="BD229" s="67"/>
    </row>
    <row r="230" spans="3:56" ht="12" customHeight="1" x14ac:dyDescent="0.2">
      <c r="C230" s="61"/>
      <c r="D230" s="45" t="s">
        <v>2</v>
      </c>
      <c r="E230" s="45"/>
      <c r="F230" s="62"/>
      <c r="G230" s="45"/>
      <c r="H230" s="45" t="s">
        <v>2</v>
      </c>
      <c r="I230" s="45"/>
      <c r="J230" s="62"/>
      <c r="K230" s="45"/>
      <c r="L230" s="45" t="s">
        <v>2</v>
      </c>
      <c r="M230" s="45"/>
      <c r="N230" s="67"/>
      <c r="O230" s="45"/>
      <c r="P230" s="45"/>
      <c r="Q230" s="61"/>
      <c r="R230" s="45" t="s">
        <v>2</v>
      </c>
      <c r="S230" s="45"/>
      <c r="T230" s="62"/>
      <c r="U230" s="45"/>
      <c r="V230" s="45" t="s">
        <v>2</v>
      </c>
      <c r="W230" s="45"/>
      <c r="X230" s="62"/>
      <c r="Y230" s="45"/>
      <c r="Z230" s="45" t="s">
        <v>2</v>
      </c>
      <c r="AA230" s="45"/>
      <c r="AB230" s="67"/>
      <c r="AC230" s="45"/>
      <c r="AD230" s="45"/>
      <c r="AE230" s="61"/>
      <c r="AF230" s="45" t="s">
        <v>2</v>
      </c>
      <c r="AG230" s="45"/>
      <c r="AH230" s="62"/>
      <c r="AI230" s="45"/>
      <c r="AJ230" s="45" t="s">
        <v>2</v>
      </c>
      <c r="AK230" s="45">
        <v>1</v>
      </c>
      <c r="AL230" s="62"/>
      <c r="AM230" s="82"/>
      <c r="AN230" s="45" t="s">
        <v>2</v>
      </c>
      <c r="AP230" s="67"/>
      <c r="AQ230" s="38"/>
      <c r="AS230" s="61"/>
      <c r="AT230" s="45" t="s">
        <v>2</v>
      </c>
      <c r="AU230" s="45"/>
      <c r="AV230" s="62"/>
      <c r="AW230" s="45"/>
      <c r="AX230" s="45" t="s">
        <v>2</v>
      </c>
      <c r="AY230" s="45"/>
      <c r="AZ230" s="62"/>
      <c r="BA230" s="82"/>
      <c r="BB230" s="45"/>
      <c r="BC230" s="45" t="s">
        <v>2</v>
      </c>
      <c r="BD230" s="67"/>
    </row>
    <row r="231" spans="3:56" ht="12" customHeight="1" thickBot="1" x14ac:dyDescent="0.25">
      <c r="C231" s="61"/>
      <c r="D231" s="45" t="s">
        <v>3</v>
      </c>
      <c r="E231" s="45"/>
      <c r="F231" s="68"/>
      <c r="G231" s="48"/>
      <c r="H231" s="48" t="s">
        <v>3</v>
      </c>
      <c r="I231" s="48"/>
      <c r="J231" s="69"/>
      <c r="K231" s="45"/>
      <c r="L231" s="45" t="s">
        <v>3</v>
      </c>
      <c r="M231" s="45"/>
      <c r="N231" s="67"/>
      <c r="O231" s="45"/>
      <c r="P231" s="45"/>
      <c r="Q231" s="61"/>
      <c r="R231" s="45" t="s">
        <v>3</v>
      </c>
      <c r="S231" s="45"/>
      <c r="T231" s="68"/>
      <c r="U231" s="48"/>
      <c r="V231" s="48" t="s">
        <v>3</v>
      </c>
      <c r="W231" s="48"/>
      <c r="X231" s="69"/>
      <c r="Y231" s="45"/>
      <c r="Z231" s="45" t="s">
        <v>3</v>
      </c>
      <c r="AA231" s="45"/>
      <c r="AB231" s="67"/>
      <c r="AC231" s="45"/>
      <c r="AD231" s="45"/>
      <c r="AE231" s="61"/>
      <c r="AF231" s="45" t="s">
        <v>3</v>
      </c>
      <c r="AG231" s="45"/>
      <c r="AH231" s="68"/>
      <c r="AI231" s="48"/>
      <c r="AJ231" s="48" t="s">
        <v>3</v>
      </c>
      <c r="AK231" s="48"/>
      <c r="AL231" s="69"/>
      <c r="AM231" s="83"/>
      <c r="AN231" s="45" t="s">
        <v>3</v>
      </c>
      <c r="AP231" s="67"/>
      <c r="AQ231" s="38"/>
      <c r="AS231" s="61"/>
      <c r="AT231" s="45" t="s">
        <v>3</v>
      </c>
      <c r="AU231" s="45"/>
      <c r="AV231" s="68"/>
      <c r="AW231" s="48"/>
      <c r="AX231" s="48" t="s">
        <v>3</v>
      </c>
      <c r="AY231" s="48"/>
      <c r="AZ231" s="69"/>
      <c r="BA231" s="83"/>
      <c r="BB231" s="45"/>
      <c r="BC231" s="45" t="s">
        <v>3</v>
      </c>
      <c r="BD231" s="67"/>
    </row>
    <row r="232" spans="3:56" ht="12" customHeight="1" x14ac:dyDescent="0.2">
      <c r="C232" s="65"/>
      <c r="D232" s="46" t="s">
        <v>0</v>
      </c>
      <c r="E232" s="46"/>
      <c r="F232" s="67"/>
      <c r="G232" s="45"/>
      <c r="H232" s="40" t="s">
        <v>0</v>
      </c>
      <c r="I232" s="45">
        <v>1</v>
      </c>
      <c r="J232" s="62"/>
      <c r="K232" s="46"/>
      <c r="L232" s="46" t="s">
        <v>0</v>
      </c>
      <c r="M232" s="46">
        <v>1</v>
      </c>
      <c r="N232" s="64"/>
      <c r="O232" s="45"/>
      <c r="P232" s="45"/>
      <c r="Q232" s="65"/>
      <c r="R232" s="46" t="s">
        <v>0</v>
      </c>
      <c r="S232" s="46"/>
      <c r="T232" s="67"/>
      <c r="U232" s="45"/>
      <c r="V232" s="40" t="s">
        <v>0</v>
      </c>
      <c r="W232" s="45"/>
      <c r="X232" s="62"/>
      <c r="Y232" s="46"/>
      <c r="Z232" s="46" t="s">
        <v>0</v>
      </c>
      <c r="AA232" s="46"/>
      <c r="AB232" s="64"/>
      <c r="AC232" s="45"/>
      <c r="AD232" s="45"/>
      <c r="AE232" s="65"/>
      <c r="AF232" s="46" t="s">
        <v>0</v>
      </c>
      <c r="AG232" s="46"/>
      <c r="AH232" s="67"/>
      <c r="AI232" s="45"/>
      <c r="AJ232" s="40" t="s">
        <v>0</v>
      </c>
      <c r="AK232" s="45"/>
      <c r="AL232" s="62"/>
      <c r="AM232" s="46"/>
      <c r="AN232" s="46" t="s">
        <v>0</v>
      </c>
      <c r="AP232" s="64"/>
      <c r="AQ232" s="38"/>
      <c r="AS232" s="65"/>
      <c r="AT232" s="46" t="s">
        <v>0</v>
      </c>
      <c r="AU232" s="46"/>
      <c r="AV232" s="67"/>
      <c r="AW232" s="45"/>
      <c r="AX232" s="40" t="s">
        <v>0</v>
      </c>
      <c r="AY232" s="45"/>
      <c r="AZ232" s="62"/>
      <c r="BA232" s="46"/>
      <c r="BB232" s="46"/>
      <c r="BC232" s="46" t="s">
        <v>0</v>
      </c>
      <c r="BD232" s="64"/>
    </row>
    <row r="233" spans="3:56" ht="12" customHeight="1" x14ac:dyDescent="0.2">
      <c r="C233" s="61"/>
      <c r="D233" s="45" t="s">
        <v>1</v>
      </c>
      <c r="E233" s="45"/>
      <c r="F233" s="67"/>
      <c r="G233" s="45"/>
      <c r="H233" s="38" t="s">
        <v>1</v>
      </c>
      <c r="I233" s="45"/>
      <c r="J233" s="67"/>
      <c r="K233" s="45"/>
      <c r="L233" s="45" t="s">
        <v>1</v>
      </c>
      <c r="M233" s="45">
        <v>1</v>
      </c>
      <c r="N233" s="67"/>
      <c r="O233" s="45"/>
      <c r="P233" s="45"/>
      <c r="Q233" s="61"/>
      <c r="R233" s="45" t="s">
        <v>1</v>
      </c>
      <c r="S233" s="45"/>
      <c r="T233" s="67"/>
      <c r="U233" s="45"/>
      <c r="V233" s="38" t="s">
        <v>1</v>
      </c>
      <c r="W233" s="45"/>
      <c r="X233" s="67"/>
      <c r="Y233" s="45"/>
      <c r="Z233" s="45" t="s">
        <v>1</v>
      </c>
      <c r="AA233" s="45">
        <v>1</v>
      </c>
      <c r="AB233" s="67"/>
      <c r="AC233" s="45"/>
      <c r="AD233" s="45"/>
      <c r="AE233" s="61"/>
      <c r="AF233" s="45" t="s">
        <v>1</v>
      </c>
      <c r="AG233" s="45"/>
      <c r="AH233" s="67"/>
      <c r="AI233" s="45"/>
      <c r="AJ233" s="38" t="s">
        <v>1</v>
      </c>
      <c r="AK233" s="45"/>
      <c r="AL233" s="67"/>
      <c r="AM233" s="45"/>
      <c r="AN233" s="45" t="s">
        <v>1</v>
      </c>
      <c r="AP233" s="67"/>
      <c r="AQ233" s="38"/>
      <c r="AS233" s="61"/>
      <c r="AT233" s="45" t="s">
        <v>1</v>
      </c>
      <c r="AU233" s="45"/>
      <c r="AV233" s="67"/>
      <c r="AW233" s="45"/>
      <c r="AX233" s="38" t="s">
        <v>1</v>
      </c>
      <c r="AY233" s="45"/>
      <c r="AZ233" s="67"/>
      <c r="BA233" s="45"/>
      <c r="BB233" s="45"/>
      <c r="BC233" s="45" t="s">
        <v>1</v>
      </c>
      <c r="BD233" s="67"/>
    </row>
    <row r="234" spans="3:56" ht="12" customHeight="1" x14ac:dyDescent="0.2">
      <c r="C234" s="61"/>
      <c r="D234" s="45" t="s">
        <v>2</v>
      </c>
      <c r="E234" s="45"/>
      <c r="F234" s="67"/>
      <c r="G234" s="45"/>
      <c r="H234" s="38" t="s">
        <v>2</v>
      </c>
      <c r="I234" s="45"/>
      <c r="J234" s="67"/>
      <c r="K234" s="45"/>
      <c r="L234" s="45" t="s">
        <v>2</v>
      </c>
      <c r="M234" s="45"/>
      <c r="N234" s="67"/>
      <c r="O234" s="45"/>
      <c r="P234" s="45"/>
      <c r="Q234" s="61"/>
      <c r="R234" s="45" t="s">
        <v>2</v>
      </c>
      <c r="S234" s="45"/>
      <c r="T234" s="67"/>
      <c r="U234" s="45"/>
      <c r="V234" s="38" t="s">
        <v>2</v>
      </c>
      <c r="W234" s="45"/>
      <c r="X234" s="67"/>
      <c r="Y234" s="45"/>
      <c r="Z234" s="45" t="s">
        <v>2</v>
      </c>
      <c r="AA234" s="45"/>
      <c r="AB234" s="67"/>
      <c r="AC234" s="45"/>
      <c r="AD234" s="45"/>
      <c r="AE234" s="61"/>
      <c r="AF234" s="45" t="s">
        <v>2</v>
      </c>
      <c r="AG234" s="45"/>
      <c r="AH234" s="67"/>
      <c r="AI234" s="45"/>
      <c r="AJ234" s="38" t="s">
        <v>2</v>
      </c>
      <c r="AK234" s="45"/>
      <c r="AL234" s="67"/>
      <c r="AM234" s="45"/>
      <c r="AN234" s="45" t="s">
        <v>2</v>
      </c>
      <c r="AP234" s="67"/>
      <c r="AQ234" s="38"/>
      <c r="AS234" s="61"/>
      <c r="AT234" s="45" t="s">
        <v>2</v>
      </c>
      <c r="AU234" s="45"/>
      <c r="AV234" s="67"/>
      <c r="AW234" s="45"/>
      <c r="AX234" s="38" t="s">
        <v>2</v>
      </c>
      <c r="AY234" s="45"/>
      <c r="AZ234" s="67"/>
      <c r="BA234" s="45"/>
      <c r="BB234" s="45"/>
      <c r="BC234" s="45" t="s">
        <v>2</v>
      </c>
      <c r="BD234" s="67"/>
    </row>
    <row r="235" spans="3:56" ht="12" customHeight="1" x14ac:dyDescent="0.2">
      <c r="C235" s="70"/>
      <c r="D235" s="49" t="s">
        <v>3</v>
      </c>
      <c r="E235" s="49"/>
      <c r="F235" s="71"/>
      <c r="G235" s="49"/>
      <c r="H235" s="39" t="s">
        <v>3</v>
      </c>
      <c r="I235" s="49"/>
      <c r="J235" s="71"/>
      <c r="K235" s="49"/>
      <c r="L235" s="49" t="s">
        <v>3</v>
      </c>
      <c r="M235" s="49"/>
      <c r="N235" s="71"/>
      <c r="O235" s="45"/>
      <c r="P235" s="45"/>
      <c r="Q235" s="70"/>
      <c r="R235" s="49" t="s">
        <v>3</v>
      </c>
      <c r="S235" s="49"/>
      <c r="T235" s="71"/>
      <c r="U235" s="49"/>
      <c r="V235" s="39" t="s">
        <v>3</v>
      </c>
      <c r="W235" s="49"/>
      <c r="X235" s="71"/>
      <c r="Y235" s="49"/>
      <c r="Z235" s="49" t="s">
        <v>3</v>
      </c>
      <c r="AA235" s="49"/>
      <c r="AB235" s="71"/>
      <c r="AC235" s="45"/>
      <c r="AD235" s="45"/>
      <c r="AE235" s="70"/>
      <c r="AF235" s="49" t="s">
        <v>3</v>
      </c>
      <c r="AG235" s="49"/>
      <c r="AH235" s="71"/>
      <c r="AI235" s="49"/>
      <c r="AJ235" s="39" t="s">
        <v>3</v>
      </c>
      <c r="AK235" s="49"/>
      <c r="AL235" s="71"/>
      <c r="AM235" s="49"/>
      <c r="AN235" s="49" t="s">
        <v>3</v>
      </c>
      <c r="AP235" s="71"/>
      <c r="AQ235" s="38"/>
      <c r="AS235" s="70"/>
      <c r="AT235" s="49" t="s">
        <v>3</v>
      </c>
      <c r="AU235" s="49"/>
      <c r="AV235" s="71"/>
      <c r="AW235" s="49"/>
      <c r="AX235" s="39" t="s">
        <v>3</v>
      </c>
      <c r="AY235" s="49"/>
      <c r="AZ235" s="71"/>
      <c r="BA235" s="49"/>
      <c r="BB235" s="49"/>
      <c r="BC235" s="49" t="s">
        <v>3</v>
      </c>
      <c r="BD235" s="71"/>
    </row>
    <row r="236" spans="3:56" ht="12" customHeight="1" x14ac:dyDescent="0.2">
      <c r="C236" s="61"/>
      <c r="D236" s="45" t="s">
        <v>0</v>
      </c>
      <c r="E236" s="67"/>
      <c r="F236" s="45" t="s">
        <v>0</v>
      </c>
      <c r="G236" s="45"/>
      <c r="H236" s="67"/>
      <c r="I236" s="45" t="s">
        <v>0</v>
      </c>
      <c r="J236" s="45"/>
      <c r="K236" s="67"/>
      <c r="L236" s="45" t="s">
        <v>0</v>
      </c>
      <c r="M236" s="45"/>
      <c r="N236" s="67"/>
      <c r="O236" s="45"/>
      <c r="P236" s="45"/>
      <c r="Q236" s="61"/>
      <c r="R236" s="45" t="s">
        <v>0</v>
      </c>
      <c r="S236" s="67"/>
      <c r="T236" s="45" t="s">
        <v>0</v>
      </c>
      <c r="U236" s="45"/>
      <c r="V236" s="67"/>
      <c r="W236" s="45" t="s">
        <v>0</v>
      </c>
      <c r="X236" s="45"/>
      <c r="Y236" s="67"/>
      <c r="Z236" s="45" t="s">
        <v>0</v>
      </c>
      <c r="AA236" s="45"/>
      <c r="AB236" s="67"/>
      <c r="AC236" s="45"/>
      <c r="AD236" s="45"/>
      <c r="AE236" s="61"/>
      <c r="AF236" s="45" t="s">
        <v>0</v>
      </c>
      <c r="AG236" s="67"/>
      <c r="AH236" s="45" t="s">
        <v>0</v>
      </c>
      <c r="AI236" s="45"/>
      <c r="AJ236" s="67"/>
      <c r="AK236" s="45" t="s">
        <v>0</v>
      </c>
      <c r="AL236" s="45"/>
      <c r="AM236" s="67"/>
      <c r="AN236" s="45" t="s">
        <v>0</v>
      </c>
      <c r="AP236" s="67"/>
      <c r="AQ236" s="38"/>
      <c r="AS236" s="61"/>
      <c r="AT236" s="45" t="s">
        <v>0</v>
      </c>
      <c r="AU236" s="67"/>
      <c r="AV236" s="45" t="s">
        <v>0</v>
      </c>
      <c r="AW236" s="45"/>
      <c r="AX236" s="67"/>
      <c r="AY236" s="45" t="s">
        <v>0</v>
      </c>
      <c r="AZ236" s="45"/>
      <c r="BA236" s="67"/>
      <c r="BB236" s="61"/>
      <c r="BC236" s="45" t="s">
        <v>0</v>
      </c>
      <c r="BD236" s="67"/>
    </row>
    <row r="237" spans="3:56" ht="12" customHeight="1" x14ac:dyDescent="0.2">
      <c r="C237" s="61"/>
      <c r="D237" s="45" t="s">
        <v>1</v>
      </c>
      <c r="E237" s="67"/>
      <c r="F237" s="45" t="s">
        <v>1</v>
      </c>
      <c r="G237" s="45"/>
      <c r="H237" s="67"/>
      <c r="I237" s="45" t="s">
        <v>1</v>
      </c>
      <c r="J237" s="45"/>
      <c r="K237" s="67"/>
      <c r="L237" s="45" t="s">
        <v>1</v>
      </c>
      <c r="M237" s="45"/>
      <c r="N237" s="67"/>
      <c r="O237" s="45"/>
      <c r="P237" s="45"/>
      <c r="Q237" s="61"/>
      <c r="R237" s="45" t="s">
        <v>1</v>
      </c>
      <c r="S237" s="67"/>
      <c r="T237" s="45" t="s">
        <v>1</v>
      </c>
      <c r="U237" s="45"/>
      <c r="V237" s="67"/>
      <c r="W237" s="45" t="s">
        <v>1</v>
      </c>
      <c r="X237" s="45"/>
      <c r="Y237" s="67"/>
      <c r="Z237" s="45" t="s">
        <v>1</v>
      </c>
      <c r="AA237" s="45"/>
      <c r="AB237" s="67"/>
      <c r="AC237" s="45"/>
      <c r="AD237" s="45"/>
      <c r="AE237" s="61"/>
      <c r="AF237" s="45" t="s">
        <v>1</v>
      </c>
      <c r="AG237" s="67"/>
      <c r="AH237" s="45" t="s">
        <v>1</v>
      </c>
      <c r="AI237" s="45"/>
      <c r="AJ237" s="67"/>
      <c r="AK237" s="45" t="s">
        <v>1</v>
      </c>
      <c r="AL237" s="45"/>
      <c r="AM237" s="67"/>
      <c r="AN237" s="45" t="s">
        <v>1</v>
      </c>
      <c r="AP237" s="67"/>
      <c r="AQ237" s="38"/>
      <c r="AS237" s="61"/>
      <c r="AT237" s="45" t="s">
        <v>1</v>
      </c>
      <c r="AU237" s="67"/>
      <c r="AV237" s="45" t="s">
        <v>1</v>
      </c>
      <c r="AW237" s="45"/>
      <c r="AX237" s="67"/>
      <c r="AY237" s="45" t="s">
        <v>1</v>
      </c>
      <c r="AZ237" s="45"/>
      <c r="BA237" s="67"/>
      <c r="BB237" s="61"/>
      <c r="BC237" s="45" t="s">
        <v>1</v>
      </c>
      <c r="BD237" s="67"/>
    </row>
    <row r="238" spans="3:56" ht="12" customHeight="1" x14ac:dyDescent="0.2">
      <c r="C238" s="61"/>
      <c r="D238" s="45" t="s">
        <v>2</v>
      </c>
      <c r="E238" s="67"/>
      <c r="F238" s="45" t="s">
        <v>2</v>
      </c>
      <c r="G238" s="45">
        <v>1</v>
      </c>
      <c r="H238" s="67"/>
      <c r="I238" s="45" t="s">
        <v>2</v>
      </c>
      <c r="J238" s="45"/>
      <c r="K238" s="67"/>
      <c r="L238" s="45" t="s">
        <v>2</v>
      </c>
      <c r="M238" s="45"/>
      <c r="N238" s="67"/>
      <c r="O238" s="45"/>
      <c r="P238" s="45"/>
      <c r="Q238" s="61"/>
      <c r="R238" s="45" t="s">
        <v>2</v>
      </c>
      <c r="S238" s="67"/>
      <c r="T238" s="45" t="s">
        <v>2</v>
      </c>
      <c r="U238" s="45"/>
      <c r="V238" s="67"/>
      <c r="W238" s="45" t="s">
        <v>2</v>
      </c>
      <c r="X238" s="45"/>
      <c r="Y238" s="67"/>
      <c r="Z238" s="45" t="s">
        <v>2</v>
      </c>
      <c r="AA238" s="45"/>
      <c r="AB238" s="67"/>
      <c r="AC238" s="45"/>
      <c r="AD238" s="45"/>
      <c r="AE238" s="61"/>
      <c r="AF238" s="45" t="s">
        <v>2</v>
      </c>
      <c r="AG238" s="67"/>
      <c r="AH238" s="45" t="s">
        <v>2</v>
      </c>
      <c r="AI238" s="45"/>
      <c r="AJ238" s="67"/>
      <c r="AK238" s="45" t="s">
        <v>2</v>
      </c>
      <c r="AL238" s="45"/>
      <c r="AM238" s="67"/>
      <c r="AN238" s="45" t="s">
        <v>2</v>
      </c>
      <c r="AP238" s="67"/>
      <c r="AQ238" s="38"/>
      <c r="AS238" s="61"/>
      <c r="AT238" s="45" t="s">
        <v>2</v>
      </c>
      <c r="AU238" s="67"/>
      <c r="AV238" s="45" t="s">
        <v>2</v>
      </c>
      <c r="AW238" s="45"/>
      <c r="AX238" s="67"/>
      <c r="AY238" s="45" t="s">
        <v>2</v>
      </c>
      <c r="AZ238" s="45"/>
      <c r="BA238" s="67"/>
      <c r="BB238" s="61"/>
      <c r="BC238" s="45" t="s">
        <v>2</v>
      </c>
      <c r="BD238" s="67"/>
    </row>
    <row r="239" spans="3:56" ht="12" customHeight="1" x14ac:dyDescent="0.2">
      <c r="C239" s="70"/>
      <c r="D239" s="49" t="s">
        <v>3</v>
      </c>
      <c r="E239" s="71"/>
      <c r="F239" s="49" t="s">
        <v>3</v>
      </c>
      <c r="G239" s="49"/>
      <c r="H239" s="71"/>
      <c r="I239" s="49" t="s">
        <v>3</v>
      </c>
      <c r="J239" s="49"/>
      <c r="K239" s="71"/>
      <c r="L239" s="49" t="s">
        <v>3</v>
      </c>
      <c r="M239" s="49"/>
      <c r="N239" s="71"/>
      <c r="O239" s="45"/>
      <c r="P239" s="45"/>
      <c r="Q239" s="70"/>
      <c r="R239" s="49" t="s">
        <v>3</v>
      </c>
      <c r="S239" s="71"/>
      <c r="T239" s="49" t="s">
        <v>3</v>
      </c>
      <c r="U239" s="49"/>
      <c r="V239" s="71"/>
      <c r="W239" s="49" t="s">
        <v>3</v>
      </c>
      <c r="X239" s="49"/>
      <c r="Y239" s="71"/>
      <c r="Z239" s="49" t="s">
        <v>3</v>
      </c>
      <c r="AA239" s="49"/>
      <c r="AB239" s="71"/>
      <c r="AC239" s="45"/>
      <c r="AD239" s="45"/>
      <c r="AE239" s="70"/>
      <c r="AF239" s="49" t="s">
        <v>3</v>
      </c>
      <c r="AG239" s="71"/>
      <c r="AH239" s="49" t="s">
        <v>3</v>
      </c>
      <c r="AI239" s="49"/>
      <c r="AJ239" s="71"/>
      <c r="AK239" s="49" t="s">
        <v>3</v>
      </c>
      <c r="AL239" s="49"/>
      <c r="AM239" s="71"/>
      <c r="AN239" s="49" t="s">
        <v>3</v>
      </c>
      <c r="AP239" s="71"/>
      <c r="AQ239" s="38"/>
      <c r="AS239" s="70"/>
      <c r="AT239" s="49" t="s">
        <v>3</v>
      </c>
      <c r="AU239" s="71"/>
      <c r="AV239" s="49" t="s">
        <v>3</v>
      </c>
      <c r="AW239" s="49"/>
      <c r="AX239" s="71"/>
      <c r="AY239" s="49" t="s">
        <v>3</v>
      </c>
      <c r="AZ239" s="49"/>
      <c r="BA239" s="71"/>
      <c r="BB239" s="70"/>
      <c r="BC239" s="49" t="s">
        <v>3</v>
      </c>
      <c r="BD239" s="71"/>
    </row>
    <row r="241" spans="3:56" ht="12" customHeight="1" x14ac:dyDescent="0.2">
      <c r="C241" s="132" t="s">
        <v>58</v>
      </c>
      <c r="D241" s="132"/>
      <c r="E241" s="132"/>
      <c r="F241" s="132"/>
      <c r="G241" s="132"/>
      <c r="H241" s="43"/>
      <c r="I241" s="43"/>
      <c r="J241" s="43"/>
      <c r="K241" s="43"/>
      <c r="L241" s="43"/>
      <c r="M241" s="43"/>
      <c r="N241" s="43"/>
      <c r="O241" s="44"/>
      <c r="P241" s="44"/>
      <c r="Q241" s="44"/>
      <c r="R241" s="44"/>
      <c r="S241" s="44"/>
      <c r="T241" s="44"/>
      <c r="U241" s="44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44"/>
      <c r="AJ241" s="44"/>
      <c r="AK241" s="44"/>
      <c r="AL241" s="44"/>
      <c r="AM241" s="44"/>
      <c r="AN241" s="44"/>
      <c r="AP241" s="44"/>
      <c r="AS241" s="44"/>
      <c r="AT241" s="44"/>
      <c r="AU241" s="44"/>
      <c r="AV241" s="44"/>
      <c r="AW241" s="44"/>
      <c r="AX241" s="44"/>
      <c r="AY241" s="44"/>
      <c r="AZ241" s="44"/>
      <c r="BA241" s="44"/>
      <c r="BB241" s="44"/>
      <c r="BC241" s="44"/>
      <c r="BD241" s="44"/>
    </row>
    <row r="242" spans="3:56" ht="12" customHeight="1" x14ac:dyDescent="0.2">
      <c r="C242" s="133"/>
      <c r="D242" s="133"/>
      <c r="E242" s="133"/>
      <c r="F242" s="133"/>
      <c r="G242" s="133"/>
      <c r="H242" s="44"/>
      <c r="I242" s="44"/>
      <c r="J242" s="44"/>
      <c r="K242" s="44"/>
      <c r="L242" s="44"/>
      <c r="M242" s="44"/>
      <c r="N242" s="44"/>
      <c r="O242" s="44"/>
      <c r="P242" s="44"/>
      <c r="Q242" s="44"/>
      <c r="R242" s="44"/>
      <c r="S242" s="44"/>
      <c r="T242" s="44"/>
      <c r="U242" s="44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44"/>
      <c r="AJ242" s="44"/>
      <c r="AK242" s="44"/>
      <c r="AL242" s="44"/>
      <c r="AM242" s="44"/>
      <c r="AN242" s="44"/>
      <c r="AP242" s="44"/>
      <c r="AS242" s="44"/>
      <c r="AT242" s="44"/>
      <c r="AU242" s="44"/>
      <c r="AV242" s="44"/>
      <c r="AW242" s="44"/>
      <c r="AX242" s="44"/>
      <c r="AY242" s="44"/>
      <c r="AZ242" s="44"/>
      <c r="BA242" s="44"/>
      <c r="BB242" s="44"/>
      <c r="BC242" s="44"/>
      <c r="BD242" s="44"/>
    </row>
    <row r="243" spans="3:56" ht="12" customHeight="1" thickBot="1" x14ac:dyDescent="0.25">
      <c r="C243" s="61"/>
      <c r="D243" s="45" t="s">
        <v>0</v>
      </c>
      <c r="E243" s="45"/>
      <c r="F243" s="62"/>
      <c r="G243" s="45"/>
      <c r="H243" s="46" t="s">
        <v>0</v>
      </c>
      <c r="I243" s="46"/>
      <c r="J243" s="63"/>
      <c r="K243" s="46"/>
      <c r="L243" s="46" t="s">
        <v>0</v>
      </c>
      <c r="M243" s="46"/>
      <c r="N243" s="64"/>
      <c r="O243" s="45"/>
      <c r="P243" s="45"/>
      <c r="Q243" s="65"/>
      <c r="R243" s="46" t="s">
        <v>0</v>
      </c>
      <c r="S243" s="46"/>
      <c r="T243" s="63"/>
      <c r="U243" s="46"/>
      <c r="V243" s="46" t="s">
        <v>0</v>
      </c>
      <c r="W243" s="46"/>
      <c r="X243" s="63"/>
      <c r="Y243" s="46"/>
      <c r="Z243" s="46" t="s">
        <v>0</v>
      </c>
      <c r="AA243" s="46"/>
      <c r="AB243" s="64"/>
      <c r="AC243" s="45"/>
      <c r="AD243" s="45"/>
      <c r="AE243" s="65"/>
      <c r="AF243" s="46" t="s">
        <v>0</v>
      </c>
      <c r="AG243" s="46"/>
      <c r="AH243" s="63"/>
      <c r="AI243" s="46"/>
      <c r="AJ243" s="46" t="s">
        <v>0</v>
      </c>
      <c r="AK243" s="46"/>
      <c r="AL243" s="63"/>
      <c r="AM243" s="81"/>
      <c r="AN243" s="46" t="s">
        <v>0</v>
      </c>
      <c r="AP243" s="64"/>
      <c r="AS243" s="65"/>
      <c r="AT243" s="46" t="s">
        <v>0</v>
      </c>
      <c r="AU243" s="46"/>
      <c r="AV243" s="63"/>
      <c r="AW243" s="46"/>
      <c r="AX243" s="46" t="s">
        <v>0</v>
      </c>
      <c r="AY243" s="46"/>
      <c r="AZ243" s="63"/>
      <c r="BA243" s="81"/>
      <c r="BB243" s="46"/>
      <c r="BC243" s="46" t="s">
        <v>0</v>
      </c>
      <c r="BD243" s="64"/>
    </row>
    <row r="244" spans="3:56" ht="12" customHeight="1" x14ac:dyDescent="0.2">
      <c r="C244" s="61"/>
      <c r="D244" s="45" t="s">
        <v>1</v>
      </c>
      <c r="E244" s="45"/>
      <c r="F244" s="62"/>
      <c r="G244" s="47"/>
      <c r="H244" s="47" t="s">
        <v>1</v>
      </c>
      <c r="I244" s="47"/>
      <c r="J244" s="66"/>
      <c r="K244" s="45"/>
      <c r="L244" s="45" t="s">
        <v>1</v>
      </c>
      <c r="M244" s="45"/>
      <c r="N244" s="67"/>
      <c r="O244" s="45"/>
      <c r="P244" s="45"/>
      <c r="Q244" s="61"/>
      <c r="R244" s="45" t="s">
        <v>1</v>
      </c>
      <c r="S244" s="45"/>
      <c r="T244" s="62"/>
      <c r="U244" s="47"/>
      <c r="V244" s="47" t="s">
        <v>1</v>
      </c>
      <c r="W244" s="47"/>
      <c r="X244" s="66"/>
      <c r="Y244" s="45"/>
      <c r="Z244" s="45" t="s">
        <v>1</v>
      </c>
      <c r="AA244" s="45"/>
      <c r="AB244" s="67"/>
      <c r="AC244" s="45"/>
      <c r="AD244" s="45"/>
      <c r="AE244" s="61"/>
      <c r="AF244" s="45" t="s">
        <v>1</v>
      </c>
      <c r="AG244" s="45"/>
      <c r="AH244" s="62"/>
      <c r="AI244" s="47"/>
      <c r="AJ244" s="47" t="s">
        <v>1</v>
      </c>
      <c r="AK244" s="47"/>
      <c r="AL244" s="66"/>
      <c r="AM244" s="82"/>
      <c r="AN244" s="45" t="s">
        <v>1</v>
      </c>
      <c r="AP244" s="67"/>
      <c r="AS244" s="61"/>
      <c r="AT244" s="45" t="s">
        <v>1</v>
      </c>
      <c r="AU244" s="45"/>
      <c r="AV244" s="62"/>
      <c r="AW244" s="47"/>
      <c r="AX244" s="47" t="s">
        <v>1</v>
      </c>
      <c r="AY244" s="47"/>
      <c r="AZ244" s="66"/>
      <c r="BA244" s="82"/>
      <c r="BB244" s="45"/>
      <c r="BC244" s="45" t="s">
        <v>1</v>
      </c>
      <c r="BD244" s="67"/>
    </row>
    <row r="245" spans="3:56" ht="12" customHeight="1" x14ac:dyDescent="0.2">
      <c r="C245" s="61"/>
      <c r="D245" s="45" t="s">
        <v>2</v>
      </c>
      <c r="E245" s="45"/>
      <c r="F245" s="62"/>
      <c r="G245" s="45"/>
      <c r="H245" s="45" t="s">
        <v>2</v>
      </c>
      <c r="I245" s="45"/>
      <c r="J245" s="62"/>
      <c r="K245" s="45"/>
      <c r="L245" s="45" t="s">
        <v>2</v>
      </c>
      <c r="M245" s="45"/>
      <c r="N245" s="67"/>
      <c r="O245" s="45"/>
      <c r="P245" s="45"/>
      <c r="Q245" s="61"/>
      <c r="R245" s="45" t="s">
        <v>2</v>
      </c>
      <c r="S245" s="45"/>
      <c r="T245" s="62"/>
      <c r="U245" s="45"/>
      <c r="V245" s="45" t="s">
        <v>2</v>
      </c>
      <c r="W245" s="45"/>
      <c r="X245" s="62"/>
      <c r="Y245" s="45"/>
      <c r="Z245" s="45" t="s">
        <v>2</v>
      </c>
      <c r="AA245" s="45"/>
      <c r="AB245" s="67"/>
      <c r="AC245" s="45"/>
      <c r="AD245" s="45"/>
      <c r="AE245" s="61"/>
      <c r="AF245" s="45" t="s">
        <v>2</v>
      </c>
      <c r="AG245" s="45"/>
      <c r="AH245" s="62"/>
      <c r="AI245" s="45"/>
      <c r="AJ245" s="45" t="s">
        <v>2</v>
      </c>
      <c r="AK245" s="45"/>
      <c r="AL245" s="62"/>
      <c r="AM245" s="82"/>
      <c r="AN245" s="45" t="s">
        <v>2</v>
      </c>
      <c r="AP245" s="67"/>
      <c r="AS245" s="61"/>
      <c r="AT245" s="45" t="s">
        <v>2</v>
      </c>
      <c r="AU245" s="45"/>
      <c r="AV245" s="62"/>
      <c r="AW245" s="45"/>
      <c r="AX245" s="45" t="s">
        <v>2</v>
      </c>
      <c r="AY245" s="45"/>
      <c r="AZ245" s="62"/>
      <c r="BA245" s="82"/>
      <c r="BB245" s="45"/>
      <c r="BC245" s="45" t="s">
        <v>2</v>
      </c>
      <c r="BD245" s="67"/>
    </row>
    <row r="246" spans="3:56" ht="12" customHeight="1" thickBot="1" x14ac:dyDescent="0.25">
      <c r="C246" s="61"/>
      <c r="D246" s="45" t="s">
        <v>3</v>
      </c>
      <c r="E246" s="45"/>
      <c r="F246" s="68"/>
      <c r="G246" s="48"/>
      <c r="H246" s="48" t="s">
        <v>3</v>
      </c>
      <c r="I246" s="48"/>
      <c r="J246" s="69"/>
      <c r="K246" s="45"/>
      <c r="L246" s="45" t="s">
        <v>3</v>
      </c>
      <c r="M246" s="45"/>
      <c r="N246" s="67"/>
      <c r="O246" s="45"/>
      <c r="P246" s="45"/>
      <c r="Q246" s="61"/>
      <c r="R246" s="45" t="s">
        <v>3</v>
      </c>
      <c r="S246" s="45"/>
      <c r="T246" s="68"/>
      <c r="U246" s="48"/>
      <c r="V246" s="48" t="s">
        <v>3</v>
      </c>
      <c r="W246" s="48"/>
      <c r="X246" s="69"/>
      <c r="Y246" s="45"/>
      <c r="Z246" s="45" t="s">
        <v>3</v>
      </c>
      <c r="AA246" s="45"/>
      <c r="AB246" s="67"/>
      <c r="AC246" s="45"/>
      <c r="AD246" s="45"/>
      <c r="AE246" s="61"/>
      <c r="AF246" s="45" t="s">
        <v>3</v>
      </c>
      <c r="AG246" s="45"/>
      <c r="AH246" s="68"/>
      <c r="AI246" s="48"/>
      <c r="AJ246" s="48" t="s">
        <v>3</v>
      </c>
      <c r="AK246" s="48"/>
      <c r="AL246" s="69"/>
      <c r="AM246" s="83"/>
      <c r="AN246" s="45" t="s">
        <v>3</v>
      </c>
      <c r="AP246" s="67"/>
      <c r="AS246" s="61"/>
      <c r="AT246" s="45" t="s">
        <v>3</v>
      </c>
      <c r="AU246" s="45"/>
      <c r="AV246" s="68"/>
      <c r="AW246" s="48"/>
      <c r="AX246" s="48" t="s">
        <v>3</v>
      </c>
      <c r="AY246" s="48"/>
      <c r="AZ246" s="69"/>
      <c r="BA246" s="83"/>
      <c r="BB246" s="45"/>
      <c r="BC246" s="45" t="s">
        <v>3</v>
      </c>
      <c r="BD246" s="67"/>
    </row>
    <row r="247" spans="3:56" ht="12" customHeight="1" x14ac:dyDescent="0.2">
      <c r="C247" s="65"/>
      <c r="D247" s="46" t="s">
        <v>0</v>
      </c>
      <c r="E247" s="46"/>
      <c r="F247" s="67"/>
      <c r="G247" s="45"/>
      <c r="H247" s="40" t="s">
        <v>0</v>
      </c>
      <c r="I247" s="45"/>
      <c r="J247" s="62"/>
      <c r="K247" s="46"/>
      <c r="L247" s="46" t="s">
        <v>0</v>
      </c>
      <c r="M247" s="46"/>
      <c r="N247" s="64"/>
      <c r="O247" s="45"/>
      <c r="P247" s="45"/>
      <c r="Q247" s="65"/>
      <c r="R247" s="46" t="s">
        <v>0</v>
      </c>
      <c r="S247" s="46"/>
      <c r="T247" s="67"/>
      <c r="U247" s="45"/>
      <c r="V247" s="40" t="s">
        <v>0</v>
      </c>
      <c r="W247" s="45"/>
      <c r="X247" s="62"/>
      <c r="Y247" s="46"/>
      <c r="Z247" s="46" t="s">
        <v>0</v>
      </c>
      <c r="AA247" s="46"/>
      <c r="AB247" s="64"/>
      <c r="AC247" s="45"/>
      <c r="AD247" s="45"/>
      <c r="AE247" s="65"/>
      <c r="AF247" s="46" t="s">
        <v>0</v>
      </c>
      <c r="AG247" s="46"/>
      <c r="AH247" s="67"/>
      <c r="AI247" s="45"/>
      <c r="AJ247" s="40" t="s">
        <v>0</v>
      </c>
      <c r="AK247" s="45"/>
      <c r="AL247" s="62"/>
      <c r="AM247" s="46"/>
      <c r="AN247" s="46" t="s">
        <v>0</v>
      </c>
      <c r="AP247" s="64"/>
      <c r="AS247" s="65"/>
      <c r="AT247" s="46" t="s">
        <v>0</v>
      </c>
      <c r="AU247" s="46"/>
      <c r="AV247" s="67"/>
      <c r="AW247" s="45"/>
      <c r="AX247" s="40" t="s">
        <v>0</v>
      </c>
      <c r="AY247" s="45"/>
      <c r="AZ247" s="62"/>
      <c r="BA247" s="46"/>
      <c r="BB247" s="46"/>
      <c r="BC247" s="46" t="s">
        <v>0</v>
      </c>
      <c r="BD247" s="64"/>
    </row>
    <row r="248" spans="3:56" ht="12" customHeight="1" x14ac:dyDescent="0.2">
      <c r="C248" s="61"/>
      <c r="D248" s="45" t="s">
        <v>1</v>
      </c>
      <c r="E248" s="45"/>
      <c r="F248" s="67"/>
      <c r="G248" s="45"/>
      <c r="H248" s="38" t="s">
        <v>1</v>
      </c>
      <c r="I248" s="45"/>
      <c r="J248" s="67"/>
      <c r="K248" s="45"/>
      <c r="L248" s="45" t="s">
        <v>1</v>
      </c>
      <c r="M248" s="45"/>
      <c r="N248" s="67"/>
      <c r="O248" s="45"/>
      <c r="P248" s="45"/>
      <c r="Q248" s="61"/>
      <c r="R248" s="45" t="s">
        <v>1</v>
      </c>
      <c r="S248" s="45"/>
      <c r="T248" s="67"/>
      <c r="U248" s="45"/>
      <c r="V248" s="38" t="s">
        <v>1</v>
      </c>
      <c r="W248" s="45"/>
      <c r="X248" s="67"/>
      <c r="Y248" s="45"/>
      <c r="Z248" s="45" t="s">
        <v>1</v>
      </c>
      <c r="AA248" s="45"/>
      <c r="AB248" s="67"/>
      <c r="AC248" s="45"/>
      <c r="AD248" s="45"/>
      <c r="AE248" s="61"/>
      <c r="AF248" s="45" t="s">
        <v>1</v>
      </c>
      <c r="AG248" s="45"/>
      <c r="AH248" s="67"/>
      <c r="AI248" s="45"/>
      <c r="AJ248" s="38" t="s">
        <v>1</v>
      </c>
      <c r="AK248" s="45"/>
      <c r="AL248" s="67"/>
      <c r="AM248" s="45"/>
      <c r="AN248" s="45" t="s">
        <v>1</v>
      </c>
      <c r="AP248" s="67"/>
      <c r="AS248" s="61"/>
      <c r="AT248" s="45" t="s">
        <v>1</v>
      </c>
      <c r="AU248" s="45"/>
      <c r="AV248" s="67"/>
      <c r="AW248" s="45"/>
      <c r="AX248" s="38" t="s">
        <v>1</v>
      </c>
      <c r="AY248" s="45"/>
      <c r="AZ248" s="67"/>
      <c r="BA248" s="61"/>
      <c r="BB248" s="45"/>
      <c r="BC248" s="45" t="s">
        <v>1</v>
      </c>
      <c r="BD248" s="67"/>
    </row>
    <row r="249" spans="3:56" ht="12" customHeight="1" x14ac:dyDescent="0.2">
      <c r="C249" s="61"/>
      <c r="D249" s="45" t="s">
        <v>2</v>
      </c>
      <c r="E249" s="45"/>
      <c r="F249" s="67"/>
      <c r="G249" s="45"/>
      <c r="H249" s="38" t="s">
        <v>2</v>
      </c>
      <c r="I249" s="45"/>
      <c r="J249" s="67"/>
      <c r="K249" s="45"/>
      <c r="L249" s="45" t="s">
        <v>2</v>
      </c>
      <c r="M249" s="45"/>
      <c r="N249" s="67"/>
      <c r="O249" s="45"/>
      <c r="P249" s="45"/>
      <c r="Q249" s="61"/>
      <c r="R249" s="45" t="s">
        <v>2</v>
      </c>
      <c r="S249" s="45"/>
      <c r="T249" s="67"/>
      <c r="U249" s="45"/>
      <c r="V249" s="38" t="s">
        <v>2</v>
      </c>
      <c r="W249" s="45"/>
      <c r="X249" s="67"/>
      <c r="Y249" s="45"/>
      <c r="Z249" s="45" t="s">
        <v>2</v>
      </c>
      <c r="AA249" s="45"/>
      <c r="AB249" s="67"/>
      <c r="AC249" s="45"/>
      <c r="AD249" s="45"/>
      <c r="AE249" s="61"/>
      <c r="AF249" s="45" t="s">
        <v>2</v>
      </c>
      <c r="AG249" s="45"/>
      <c r="AH249" s="67"/>
      <c r="AI249" s="45"/>
      <c r="AJ249" s="38" t="s">
        <v>2</v>
      </c>
      <c r="AK249" s="45"/>
      <c r="AL249" s="67"/>
      <c r="AM249" s="45"/>
      <c r="AN249" s="45" t="s">
        <v>2</v>
      </c>
      <c r="AP249" s="67"/>
      <c r="AS249" s="61"/>
      <c r="AT249" s="45" t="s">
        <v>2</v>
      </c>
      <c r="AU249" s="45"/>
      <c r="AV249" s="67"/>
      <c r="AW249" s="45"/>
      <c r="AX249" s="38" t="s">
        <v>2</v>
      </c>
      <c r="AY249" s="45"/>
      <c r="AZ249" s="67"/>
      <c r="BA249" s="61"/>
      <c r="BB249" s="45"/>
      <c r="BC249" s="45" t="s">
        <v>2</v>
      </c>
      <c r="BD249" s="67"/>
    </row>
    <row r="250" spans="3:56" ht="12" customHeight="1" x14ac:dyDescent="0.2">
      <c r="C250" s="70"/>
      <c r="D250" s="49" t="s">
        <v>3</v>
      </c>
      <c r="E250" s="49"/>
      <c r="F250" s="71"/>
      <c r="G250" s="49"/>
      <c r="H250" s="39" t="s">
        <v>3</v>
      </c>
      <c r="I250" s="49"/>
      <c r="J250" s="71"/>
      <c r="K250" s="49"/>
      <c r="L250" s="49" t="s">
        <v>3</v>
      </c>
      <c r="M250" s="49"/>
      <c r="N250" s="71"/>
      <c r="O250" s="45"/>
      <c r="P250" s="45"/>
      <c r="Q250" s="70"/>
      <c r="R250" s="49" t="s">
        <v>3</v>
      </c>
      <c r="S250" s="49"/>
      <c r="T250" s="71"/>
      <c r="U250" s="49"/>
      <c r="V250" s="39" t="s">
        <v>3</v>
      </c>
      <c r="W250" s="49"/>
      <c r="X250" s="71"/>
      <c r="Y250" s="49"/>
      <c r="Z250" s="49" t="s">
        <v>3</v>
      </c>
      <c r="AA250" s="49"/>
      <c r="AB250" s="71"/>
      <c r="AC250" s="45"/>
      <c r="AD250" s="45"/>
      <c r="AE250" s="70"/>
      <c r="AF250" s="49" t="s">
        <v>3</v>
      </c>
      <c r="AG250" s="49"/>
      <c r="AH250" s="71"/>
      <c r="AI250" s="49"/>
      <c r="AJ250" s="39" t="s">
        <v>3</v>
      </c>
      <c r="AK250" s="49"/>
      <c r="AL250" s="71"/>
      <c r="AM250" s="49"/>
      <c r="AN250" s="49" t="s">
        <v>3</v>
      </c>
      <c r="AP250" s="71"/>
      <c r="AS250" s="70"/>
      <c r="AT250" s="49" t="s">
        <v>3</v>
      </c>
      <c r="AU250" s="49"/>
      <c r="AV250" s="71"/>
      <c r="AW250" s="49"/>
      <c r="AX250" s="39" t="s">
        <v>3</v>
      </c>
      <c r="AY250" s="49"/>
      <c r="AZ250" s="71"/>
      <c r="BA250" s="70"/>
      <c r="BB250" s="49"/>
      <c r="BC250" s="49" t="s">
        <v>3</v>
      </c>
      <c r="BD250" s="71"/>
    </row>
    <row r="251" spans="3:56" ht="12" customHeight="1" x14ac:dyDescent="0.2">
      <c r="C251" s="61"/>
      <c r="D251" s="45" t="s">
        <v>0</v>
      </c>
      <c r="E251" s="67"/>
      <c r="F251" s="45" t="s">
        <v>0</v>
      </c>
      <c r="G251" s="45"/>
      <c r="H251" s="67"/>
      <c r="I251" s="45" t="s">
        <v>0</v>
      </c>
      <c r="J251" s="45"/>
      <c r="K251" s="67"/>
      <c r="L251" s="45" t="s">
        <v>0</v>
      </c>
      <c r="M251" s="45"/>
      <c r="N251" s="67"/>
      <c r="O251" s="45"/>
      <c r="P251" s="45"/>
      <c r="Q251" s="61"/>
      <c r="R251" s="45" t="s">
        <v>0</v>
      </c>
      <c r="S251" s="67"/>
      <c r="T251" s="45" t="s">
        <v>0</v>
      </c>
      <c r="U251" s="45"/>
      <c r="V251" s="67"/>
      <c r="W251" s="45" t="s">
        <v>0</v>
      </c>
      <c r="X251" s="45"/>
      <c r="Y251" s="67"/>
      <c r="Z251" s="45" t="s">
        <v>0</v>
      </c>
      <c r="AA251" s="45"/>
      <c r="AB251" s="67"/>
      <c r="AC251" s="45"/>
      <c r="AD251" s="45"/>
      <c r="AE251" s="61"/>
      <c r="AF251" s="45" t="s">
        <v>0</v>
      </c>
      <c r="AG251" s="67"/>
      <c r="AH251" s="45" t="s">
        <v>0</v>
      </c>
      <c r="AI251" s="45"/>
      <c r="AJ251" s="67"/>
      <c r="AK251" s="45" t="s">
        <v>0</v>
      </c>
      <c r="AL251" s="45"/>
      <c r="AM251" s="67"/>
      <c r="AN251" s="45" t="s">
        <v>0</v>
      </c>
      <c r="AP251" s="67"/>
      <c r="AS251" s="61"/>
      <c r="AT251" s="45" t="s">
        <v>0</v>
      </c>
      <c r="AU251" s="67"/>
      <c r="AV251" s="45" t="s">
        <v>0</v>
      </c>
      <c r="AW251" s="45"/>
      <c r="AX251" s="67"/>
      <c r="AY251" s="45" t="s">
        <v>0</v>
      </c>
      <c r="AZ251" s="45"/>
      <c r="BA251" s="67"/>
      <c r="BB251" s="61"/>
      <c r="BC251" s="45" t="s">
        <v>0</v>
      </c>
      <c r="BD251" s="67"/>
    </row>
    <row r="252" spans="3:56" ht="12" customHeight="1" x14ac:dyDescent="0.2">
      <c r="C252" s="61"/>
      <c r="D252" s="45" t="s">
        <v>1</v>
      </c>
      <c r="E252" s="67"/>
      <c r="F252" s="45" t="s">
        <v>1</v>
      </c>
      <c r="G252" s="45"/>
      <c r="H252" s="67"/>
      <c r="I252" s="45" t="s">
        <v>1</v>
      </c>
      <c r="J252" s="45"/>
      <c r="K252" s="67"/>
      <c r="L252" s="45" t="s">
        <v>1</v>
      </c>
      <c r="M252" s="45"/>
      <c r="N252" s="67"/>
      <c r="O252" s="45"/>
      <c r="P252" s="45"/>
      <c r="Q252" s="61"/>
      <c r="R252" s="45" t="s">
        <v>1</v>
      </c>
      <c r="S252" s="67"/>
      <c r="T252" s="45" t="s">
        <v>1</v>
      </c>
      <c r="U252" s="45"/>
      <c r="V252" s="67"/>
      <c r="W252" s="45" t="s">
        <v>1</v>
      </c>
      <c r="X252" s="45"/>
      <c r="Y252" s="67"/>
      <c r="Z252" s="45" t="s">
        <v>1</v>
      </c>
      <c r="AA252" s="45"/>
      <c r="AB252" s="67"/>
      <c r="AC252" s="45"/>
      <c r="AD252" s="45"/>
      <c r="AE252" s="61"/>
      <c r="AF252" s="45" t="s">
        <v>1</v>
      </c>
      <c r="AG252" s="67"/>
      <c r="AH252" s="45" t="s">
        <v>1</v>
      </c>
      <c r="AI252" s="45"/>
      <c r="AJ252" s="67"/>
      <c r="AK252" s="45" t="s">
        <v>1</v>
      </c>
      <c r="AL252" s="45"/>
      <c r="AM252" s="67"/>
      <c r="AN252" s="45" t="s">
        <v>1</v>
      </c>
      <c r="AP252" s="67"/>
      <c r="AS252" s="61"/>
      <c r="AT252" s="45" t="s">
        <v>1</v>
      </c>
      <c r="AU252" s="67"/>
      <c r="AV252" s="45" t="s">
        <v>1</v>
      </c>
      <c r="AW252" s="45"/>
      <c r="AX252" s="67"/>
      <c r="AY252" s="45" t="s">
        <v>1</v>
      </c>
      <c r="AZ252" s="45"/>
      <c r="BA252" s="67"/>
      <c r="BB252" s="61"/>
      <c r="BC252" s="45" t="s">
        <v>1</v>
      </c>
      <c r="BD252" s="67"/>
    </row>
    <row r="253" spans="3:56" ht="12" customHeight="1" x14ac:dyDescent="0.2">
      <c r="C253" s="61"/>
      <c r="D253" s="45" t="s">
        <v>2</v>
      </c>
      <c r="E253" s="67"/>
      <c r="F253" s="45" t="s">
        <v>2</v>
      </c>
      <c r="G253" s="45"/>
      <c r="H253" s="67"/>
      <c r="I253" s="45" t="s">
        <v>2</v>
      </c>
      <c r="J253" s="45"/>
      <c r="K253" s="67"/>
      <c r="L253" s="45" t="s">
        <v>2</v>
      </c>
      <c r="M253" s="45"/>
      <c r="N253" s="67"/>
      <c r="O253" s="45"/>
      <c r="P253" s="45"/>
      <c r="Q253" s="61"/>
      <c r="R253" s="45" t="s">
        <v>2</v>
      </c>
      <c r="S253" s="67"/>
      <c r="T253" s="45" t="s">
        <v>2</v>
      </c>
      <c r="U253" s="45"/>
      <c r="V253" s="67"/>
      <c r="W253" s="45" t="s">
        <v>2</v>
      </c>
      <c r="X253" s="45"/>
      <c r="Y253" s="67"/>
      <c r="Z253" s="45" t="s">
        <v>2</v>
      </c>
      <c r="AA253" s="45"/>
      <c r="AB253" s="67"/>
      <c r="AC253" s="45"/>
      <c r="AD253" s="45"/>
      <c r="AE253" s="61"/>
      <c r="AF253" s="45" t="s">
        <v>2</v>
      </c>
      <c r="AG253" s="67"/>
      <c r="AH253" s="45" t="s">
        <v>2</v>
      </c>
      <c r="AI253" s="45"/>
      <c r="AJ253" s="67"/>
      <c r="AK253" s="45" t="s">
        <v>2</v>
      </c>
      <c r="AL253" s="45"/>
      <c r="AM253" s="67"/>
      <c r="AN253" s="45" t="s">
        <v>2</v>
      </c>
      <c r="AP253" s="67"/>
      <c r="AS253" s="61"/>
      <c r="AT253" s="45" t="s">
        <v>2</v>
      </c>
      <c r="AU253" s="67"/>
      <c r="AV253" s="45" t="s">
        <v>2</v>
      </c>
      <c r="AW253" s="45"/>
      <c r="AX253" s="67"/>
      <c r="AY253" s="45" t="s">
        <v>2</v>
      </c>
      <c r="AZ253" s="45"/>
      <c r="BA253" s="67"/>
      <c r="BB253" s="61"/>
      <c r="BC253" s="45" t="s">
        <v>2</v>
      </c>
      <c r="BD253" s="67"/>
    </row>
    <row r="254" spans="3:56" ht="12" customHeight="1" x14ac:dyDescent="0.2">
      <c r="C254" s="70"/>
      <c r="D254" s="49" t="s">
        <v>3</v>
      </c>
      <c r="E254" s="71"/>
      <c r="F254" s="49" t="s">
        <v>3</v>
      </c>
      <c r="G254" s="49"/>
      <c r="H254" s="71"/>
      <c r="I254" s="49" t="s">
        <v>3</v>
      </c>
      <c r="J254" s="49"/>
      <c r="K254" s="71"/>
      <c r="L254" s="49" t="s">
        <v>3</v>
      </c>
      <c r="M254" s="49"/>
      <c r="N254" s="71"/>
      <c r="O254" s="45"/>
      <c r="P254" s="45"/>
      <c r="Q254" s="70"/>
      <c r="R254" s="49" t="s">
        <v>3</v>
      </c>
      <c r="S254" s="71"/>
      <c r="T254" s="49" t="s">
        <v>3</v>
      </c>
      <c r="U254" s="49"/>
      <c r="V254" s="71"/>
      <c r="W254" s="49" t="s">
        <v>3</v>
      </c>
      <c r="X254" s="49"/>
      <c r="Y254" s="71"/>
      <c r="Z254" s="49" t="s">
        <v>3</v>
      </c>
      <c r="AA254" s="49"/>
      <c r="AB254" s="71"/>
      <c r="AC254" s="45"/>
      <c r="AD254" s="45"/>
      <c r="AE254" s="70"/>
      <c r="AF254" s="49" t="s">
        <v>3</v>
      </c>
      <c r="AG254" s="71"/>
      <c r="AH254" s="49" t="s">
        <v>3</v>
      </c>
      <c r="AI254" s="49"/>
      <c r="AJ254" s="71"/>
      <c r="AK254" s="49" t="s">
        <v>3</v>
      </c>
      <c r="AL254" s="49"/>
      <c r="AM254" s="71"/>
      <c r="AN254" s="49" t="s">
        <v>3</v>
      </c>
      <c r="AP254" s="71"/>
      <c r="AS254" s="70"/>
      <c r="AT254" s="49" t="s">
        <v>3</v>
      </c>
      <c r="AU254" s="71"/>
      <c r="AV254" s="49" t="s">
        <v>3</v>
      </c>
      <c r="AW254" s="49"/>
      <c r="AX254" s="71"/>
      <c r="AY254" s="49" t="s">
        <v>3</v>
      </c>
      <c r="AZ254" s="49"/>
      <c r="BA254" s="71"/>
      <c r="BB254" s="70"/>
      <c r="BC254" s="49" t="s">
        <v>3</v>
      </c>
      <c r="BD254" s="71"/>
    </row>
    <row r="255" spans="3:56" ht="12" customHeight="1" x14ac:dyDescent="0.2"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38"/>
      <c r="Z255" s="38"/>
      <c r="AA255" s="38"/>
      <c r="AB255" s="38"/>
      <c r="AC255" s="38"/>
      <c r="AD255" s="38"/>
      <c r="AE255" s="38"/>
      <c r="AF255" s="38"/>
      <c r="AG255" s="38"/>
      <c r="AH255" s="38"/>
      <c r="AI255" s="38"/>
      <c r="AJ255" s="38"/>
      <c r="AK255" s="38"/>
      <c r="AL255" s="38"/>
      <c r="AM255" s="38"/>
      <c r="AN255" s="38"/>
      <c r="AP255" s="38"/>
      <c r="AS255" s="38"/>
      <c r="AT255" s="38"/>
      <c r="AU255" s="38"/>
      <c r="AV255" s="38"/>
      <c r="AW255" s="38"/>
      <c r="AX255" s="38"/>
      <c r="AY255" s="38"/>
      <c r="AZ255" s="38"/>
      <c r="BA255" s="38"/>
      <c r="BB255" s="38"/>
      <c r="BC255" s="38"/>
      <c r="BD255" s="38"/>
    </row>
    <row r="256" spans="3:56" ht="12" customHeight="1" x14ac:dyDescent="0.2">
      <c r="C256" s="132" t="s">
        <v>53</v>
      </c>
      <c r="D256" s="132"/>
      <c r="E256" s="132"/>
      <c r="F256" s="132"/>
      <c r="G256" s="132"/>
      <c r="H256" s="43"/>
      <c r="I256" s="43"/>
      <c r="J256" s="43"/>
      <c r="K256" s="43"/>
      <c r="L256" s="43"/>
      <c r="M256" s="43"/>
      <c r="N256" s="43"/>
      <c r="O256" s="44"/>
      <c r="P256" s="44"/>
      <c r="Q256" s="44"/>
      <c r="R256" s="44"/>
      <c r="S256" s="44"/>
      <c r="T256" s="44"/>
      <c r="U256" s="44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44"/>
      <c r="AJ256" s="44"/>
      <c r="AK256" s="44"/>
      <c r="AL256" s="44"/>
      <c r="AM256" s="44"/>
      <c r="AN256" s="44"/>
      <c r="AP256" s="44"/>
      <c r="AS256" s="44"/>
      <c r="AT256" s="44"/>
      <c r="AU256" s="44"/>
      <c r="AV256" s="44"/>
      <c r="AW256" s="44"/>
      <c r="AX256" s="44"/>
      <c r="AY256" s="44"/>
      <c r="AZ256" s="44"/>
      <c r="BA256" s="44"/>
      <c r="BB256" s="44"/>
      <c r="BC256" s="44"/>
      <c r="BD256" s="44"/>
    </row>
    <row r="257" spans="3:56" ht="12" customHeight="1" x14ac:dyDescent="0.2">
      <c r="C257" s="133"/>
      <c r="D257" s="133"/>
      <c r="E257" s="133"/>
      <c r="F257" s="133"/>
      <c r="G257" s="133"/>
      <c r="H257" s="44"/>
      <c r="I257" s="44"/>
      <c r="J257" s="44"/>
      <c r="K257" s="44"/>
      <c r="L257" s="44"/>
      <c r="M257" s="44"/>
      <c r="N257" s="44"/>
      <c r="O257" s="44"/>
      <c r="P257" s="44"/>
      <c r="Q257" s="44"/>
      <c r="R257" s="44"/>
      <c r="S257" s="44"/>
      <c r="T257" s="44"/>
      <c r="U257" s="44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44"/>
      <c r="AJ257" s="44"/>
      <c r="AK257" s="44"/>
      <c r="AL257" s="44"/>
      <c r="AM257" s="44"/>
      <c r="AN257" s="44"/>
      <c r="AP257" s="44"/>
      <c r="AS257" s="44"/>
      <c r="AT257" s="44"/>
      <c r="AU257" s="44"/>
      <c r="AV257" s="44"/>
      <c r="AW257" s="44"/>
      <c r="AX257" s="44"/>
      <c r="AY257" s="44"/>
      <c r="AZ257" s="44"/>
      <c r="BA257" s="44"/>
      <c r="BB257" s="44"/>
      <c r="BC257" s="44"/>
      <c r="BD257" s="44"/>
    </row>
    <row r="258" spans="3:56" ht="12" customHeight="1" thickBot="1" x14ac:dyDescent="0.25">
      <c r="C258" s="61"/>
      <c r="D258" s="45" t="s">
        <v>0</v>
      </c>
      <c r="E258" s="45"/>
      <c r="F258" s="62"/>
      <c r="G258" s="45"/>
      <c r="H258" s="46" t="s">
        <v>0</v>
      </c>
      <c r="I258" s="46"/>
      <c r="J258" s="63"/>
      <c r="K258" s="46"/>
      <c r="L258" s="46" t="s">
        <v>0</v>
      </c>
      <c r="M258" s="46"/>
      <c r="N258" s="64"/>
      <c r="O258" s="45"/>
      <c r="P258" s="45"/>
      <c r="Q258" s="65"/>
      <c r="R258" s="46" t="s">
        <v>0</v>
      </c>
      <c r="S258" s="46"/>
      <c r="T258" s="63"/>
      <c r="U258" s="46"/>
      <c r="V258" s="46" t="s">
        <v>0</v>
      </c>
      <c r="W258" s="46"/>
      <c r="X258" s="63"/>
      <c r="Y258" s="46"/>
      <c r="Z258" s="46" t="s">
        <v>0</v>
      </c>
      <c r="AA258" s="46"/>
      <c r="AB258" s="64"/>
      <c r="AC258" s="45"/>
      <c r="AD258" s="45"/>
      <c r="AE258" s="65"/>
      <c r="AF258" s="46" t="s">
        <v>0</v>
      </c>
      <c r="AG258" s="46"/>
      <c r="AH258" s="63"/>
      <c r="AI258" s="46"/>
      <c r="AJ258" s="46" t="s">
        <v>0</v>
      </c>
      <c r="AK258" s="46"/>
      <c r="AL258" s="63"/>
      <c r="AM258" s="81"/>
      <c r="AN258" s="46" t="s">
        <v>0</v>
      </c>
      <c r="AP258" s="64"/>
      <c r="AS258" s="65"/>
      <c r="AT258" s="46" t="s">
        <v>0</v>
      </c>
      <c r="AU258" s="46"/>
      <c r="AV258" s="63"/>
      <c r="AW258" s="46"/>
      <c r="AX258" s="46" t="s">
        <v>0</v>
      </c>
      <c r="AY258" s="46"/>
      <c r="AZ258" s="63"/>
      <c r="BA258" s="81"/>
      <c r="BB258" s="46"/>
      <c r="BC258" s="46" t="s">
        <v>0</v>
      </c>
      <c r="BD258" s="64"/>
    </row>
    <row r="259" spans="3:56" ht="12" customHeight="1" x14ac:dyDescent="0.2">
      <c r="C259" s="61"/>
      <c r="D259" s="45" t="s">
        <v>1</v>
      </c>
      <c r="E259" s="45"/>
      <c r="F259" s="62"/>
      <c r="G259" s="47"/>
      <c r="H259" s="47" t="s">
        <v>1</v>
      </c>
      <c r="I259" s="47"/>
      <c r="J259" s="66"/>
      <c r="K259" s="45"/>
      <c r="L259" s="45" t="s">
        <v>1</v>
      </c>
      <c r="M259" s="45"/>
      <c r="N259" s="67"/>
      <c r="O259" s="45"/>
      <c r="P259" s="45"/>
      <c r="Q259" s="61"/>
      <c r="R259" s="45" t="s">
        <v>1</v>
      </c>
      <c r="S259" s="45"/>
      <c r="T259" s="62"/>
      <c r="U259" s="47"/>
      <c r="V259" s="47" t="s">
        <v>1</v>
      </c>
      <c r="W259" s="47"/>
      <c r="X259" s="66"/>
      <c r="Y259" s="45"/>
      <c r="Z259" s="45" t="s">
        <v>1</v>
      </c>
      <c r="AA259" s="45"/>
      <c r="AB259" s="67"/>
      <c r="AC259" s="45"/>
      <c r="AD259" s="45"/>
      <c r="AE259" s="61"/>
      <c r="AF259" s="45" t="s">
        <v>1</v>
      </c>
      <c r="AG259" s="45"/>
      <c r="AH259" s="62"/>
      <c r="AI259" s="47"/>
      <c r="AJ259" s="47" t="s">
        <v>1</v>
      </c>
      <c r="AK259" s="47"/>
      <c r="AL259" s="66"/>
      <c r="AM259" s="82"/>
      <c r="AN259" s="45" t="s">
        <v>1</v>
      </c>
      <c r="AP259" s="67"/>
      <c r="AS259" s="61"/>
      <c r="AT259" s="45" t="s">
        <v>1</v>
      </c>
      <c r="AU259" s="45"/>
      <c r="AV259" s="62"/>
      <c r="AW259" s="47"/>
      <c r="AX259" s="47" t="s">
        <v>1</v>
      </c>
      <c r="AY259" s="47"/>
      <c r="AZ259" s="66"/>
      <c r="BA259" s="82"/>
      <c r="BB259" s="45"/>
      <c r="BC259" s="45" t="s">
        <v>1</v>
      </c>
      <c r="BD259" s="67"/>
    </row>
    <row r="260" spans="3:56" ht="12" customHeight="1" x14ac:dyDescent="0.2">
      <c r="C260" s="61"/>
      <c r="D260" s="45" t="s">
        <v>2</v>
      </c>
      <c r="E260" s="45"/>
      <c r="F260" s="62"/>
      <c r="G260" s="45"/>
      <c r="H260" s="45" t="s">
        <v>2</v>
      </c>
      <c r="I260" s="45"/>
      <c r="J260" s="62"/>
      <c r="K260" s="45"/>
      <c r="L260" s="45" t="s">
        <v>2</v>
      </c>
      <c r="M260" s="45"/>
      <c r="N260" s="67"/>
      <c r="O260" s="45"/>
      <c r="P260" s="45"/>
      <c r="Q260" s="61"/>
      <c r="R260" s="45" t="s">
        <v>2</v>
      </c>
      <c r="S260" s="45"/>
      <c r="T260" s="62"/>
      <c r="U260" s="45"/>
      <c r="V260" s="45" t="s">
        <v>2</v>
      </c>
      <c r="W260" s="45"/>
      <c r="X260" s="62"/>
      <c r="Y260" s="45"/>
      <c r="Z260" s="45" t="s">
        <v>2</v>
      </c>
      <c r="AA260" s="45"/>
      <c r="AB260" s="67"/>
      <c r="AC260" s="45"/>
      <c r="AD260" s="45"/>
      <c r="AE260" s="61"/>
      <c r="AF260" s="45" t="s">
        <v>2</v>
      </c>
      <c r="AG260" s="45"/>
      <c r="AH260" s="62"/>
      <c r="AI260" s="45"/>
      <c r="AJ260" s="45" t="s">
        <v>2</v>
      </c>
      <c r="AK260" s="45"/>
      <c r="AL260" s="62"/>
      <c r="AM260" s="82"/>
      <c r="AN260" s="45" t="s">
        <v>2</v>
      </c>
      <c r="AP260" s="67"/>
      <c r="AS260" s="61"/>
      <c r="AT260" s="45" t="s">
        <v>2</v>
      </c>
      <c r="AU260" s="45"/>
      <c r="AV260" s="62"/>
      <c r="AW260" s="45"/>
      <c r="AX260" s="45" t="s">
        <v>2</v>
      </c>
      <c r="AY260" s="45"/>
      <c r="AZ260" s="62"/>
      <c r="BA260" s="82"/>
      <c r="BB260" s="45"/>
      <c r="BC260" s="45" t="s">
        <v>2</v>
      </c>
      <c r="BD260" s="67"/>
    </row>
    <row r="261" spans="3:56" ht="12" customHeight="1" thickBot="1" x14ac:dyDescent="0.25">
      <c r="C261" s="61"/>
      <c r="D261" s="45" t="s">
        <v>3</v>
      </c>
      <c r="E261" s="45"/>
      <c r="F261" s="68"/>
      <c r="G261" s="48"/>
      <c r="H261" s="48" t="s">
        <v>3</v>
      </c>
      <c r="I261" s="48"/>
      <c r="J261" s="69"/>
      <c r="K261" s="45"/>
      <c r="L261" s="45" t="s">
        <v>3</v>
      </c>
      <c r="M261" s="45"/>
      <c r="N261" s="67"/>
      <c r="O261" s="45"/>
      <c r="P261" s="45"/>
      <c r="Q261" s="61"/>
      <c r="R261" s="45" t="s">
        <v>3</v>
      </c>
      <c r="S261" s="45"/>
      <c r="T261" s="68"/>
      <c r="U261" s="48"/>
      <c r="V261" s="48" t="s">
        <v>3</v>
      </c>
      <c r="W261" s="48"/>
      <c r="X261" s="69"/>
      <c r="Y261" s="45"/>
      <c r="Z261" s="45" t="s">
        <v>3</v>
      </c>
      <c r="AA261" s="45"/>
      <c r="AB261" s="67"/>
      <c r="AC261" s="45"/>
      <c r="AD261" s="45"/>
      <c r="AE261" s="61"/>
      <c r="AF261" s="45" t="s">
        <v>3</v>
      </c>
      <c r="AG261" s="45"/>
      <c r="AH261" s="68"/>
      <c r="AI261" s="48"/>
      <c r="AJ261" s="48" t="s">
        <v>3</v>
      </c>
      <c r="AK261" s="48"/>
      <c r="AL261" s="69"/>
      <c r="AM261" s="83"/>
      <c r="AN261" s="45" t="s">
        <v>3</v>
      </c>
      <c r="AP261" s="67"/>
      <c r="AS261" s="61"/>
      <c r="AT261" s="45" t="s">
        <v>3</v>
      </c>
      <c r="AU261" s="45"/>
      <c r="AV261" s="68"/>
      <c r="AW261" s="48"/>
      <c r="AX261" s="48" t="s">
        <v>3</v>
      </c>
      <c r="AY261" s="48"/>
      <c r="AZ261" s="69"/>
      <c r="BA261" s="83"/>
      <c r="BB261" s="45"/>
      <c r="BC261" s="45" t="s">
        <v>3</v>
      </c>
      <c r="BD261" s="67"/>
    </row>
    <row r="262" spans="3:56" ht="12" customHeight="1" x14ac:dyDescent="0.2">
      <c r="C262" s="65"/>
      <c r="D262" s="46" t="s">
        <v>0</v>
      </c>
      <c r="E262" s="46"/>
      <c r="F262" s="67"/>
      <c r="G262" s="45"/>
      <c r="H262" s="40" t="s">
        <v>0</v>
      </c>
      <c r="I262" s="45"/>
      <c r="J262" s="62"/>
      <c r="K262" s="46"/>
      <c r="L262" s="46" t="s">
        <v>0</v>
      </c>
      <c r="M262" s="46"/>
      <c r="N262" s="64"/>
      <c r="O262" s="45"/>
      <c r="P262" s="45"/>
      <c r="Q262" s="65"/>
      <c r="R262" s="46" t="s">
        <v>0</v>
      </c>
      <c r="S262" s="46"/>
      <c r="T262" s="67"/>
      <c r="U262" s="45"/>
      <c r="V262" s="40" t="s">
        <v>0</v>
      </c>
      <c r="W262" s="45"/>
      <c r="X262" s="62"/>
      <c r="Y262" s="46"/>
      <c r="Z262" s="46" t="s">
        <v>0</v>
      </c>
      <c r="AA262" s="46"/>
      <c r="AB262" s="64"/>
      <c r="AC262" s="45"/>
      <c r="AD262" s="45"/>
      <c r="AE262" s="65"/>
      <c r="AF262" s="46" t="s">
        <v>0</v>
      </c>
      <c r="AG262" s="46"/>
      <c r="AH262" s="67"/>
      <c r="AI262" s="45"/>
      <c r="AJ262" s="40" t="s">
        <v>0</v>
      </c>
      <c r="AK262" s="45"/>
      <c r="AL262" s="62"/>
      <c r="AM262" s="46"/>
      <c r="AN262" s="46" t="s">
        <v>0</v>
      </c>
      <c r="AP262" s="64"/>
      <c r="AS262" s="65"/>
      <c r="AT262" s="46" t="s">
        <v>0</v>
      </c>
      <c r="AU262" s="46"/>
      <c r="AV262" s="67"/>
      <c r="AW262" s="45"/>
      <c r="AX262" s="40" t="s">
        <v>0</v>
      </c>
      <c r="AY262" s="45"/>
      <c r="AZ262" s="62"/>
      <c r="BA262" s="46"/>
      <c r="BB262" s="46"/>
      <c r="BC262" s="46" t="s">
        <v>0</v>
      </c>
      <c r="BD262" s="64"/>
    </row>
    <row r="263" spans="3:56" ht="12" customHeight="1" x14ac:dyDescent="0.2">
      <c r="C263" s="61"/>
      <c r="D263" s="45" t="s">
        <v>1</v>
      </c>
      <c r="E263" s="45"/>
      <c r="F263" s="67"/>
      <c r="G263" s="45"/>
      <c r="H263" s="38" t="s">
        <v>1</v>
      </c>
      <c r="I263" s="45"/>
      <c r="J263" s="67"/>
      <c r="K263" s="45"/>
      <c r="L263" s="45" t="s">
        <v>1</v>
      </c>
      <c r="M263" s="45"/>
      <c r="N263" s="67"/>
      <c r="O263" s="45"/>
      <c r="P263" s="45"/>
      <c r="Q263" s="61"/>
      <c r="R263" s="45" t="s">
        <v>1</v>
      </c>
      <c r="S263" s="45"/>
      <c r="T263" s="67"/>
      <c r="U263" s="45"/>
      <c r="V263" s="38" t="s">
        <v>1</v>
      </c>
      <c r="W263" s="45"/>
      <c r="X263" s="67"/>
      <c r="Y263" s="45"/>
      <c r="Z263" s="45" t="s">
        <v>1</v>
      </c>
      <c r="AA263" s="45"/>
      <c r="AB263" s="67"/>
      <c r="AC263" s="45"/>
      <c r="AD263" s="45"/>
      <c r="AE263" s="61"/>
      <c r="AF263" s="45" t="s">
        <v>1</v>
      </c>
      <c r="AG263" s="45"/>
      <c r="AH263" s="67"/>
      <c r="AI263" s="45"/>
      <c r="AJ263" s="38" t="s">
        <v>1</v>
      </c>
      <c r="AK263" s="45"/>
      <c r="AL263" s="67"/>
      <c r="AM263" s="45"/>
      <c r="AN263" s="45" t="s">
        <v>1</v>
      </c>
      <c r="AP263" s="67"/>
      <c r="AS263" s="61"/>
      <c r="AT263" s="45" t="s">
        <v>1</v>
      </c>
      <c r="AU263" s="45"/>
      <c r="AV263" s="67"/>
      <c r="AW263" s="45"/>
      <c r="AX263" s="38" t="s">
        <v>1</v>
      </c>
      <c r="AY263" s="45"/>
      <c r="AZ263" s="67"/>
      <c r="BA263" s="45"/>
      <c r="BB263" s="45"/>
      <c r="BC263" s="45" t="s">
        <v>1</v>
      </c>
      <c r="BD263" s="67"/>
    </row>
    <row r="264" spans="3:56" ht="12" customHeight="1" x14ac:dyDescent="0.2">
      <c r="C264" s="61"/>
      <c r="D264" s="45" t="s">
        <v>2</v>
      </c>
      <c r="E264" s="45"/>
      <c r="F264" s="67"/>
      <c r="G264" s="45"/>
      <c r="H264" s="38" t="s">
        <v>2</v>
      </c>
      <c r="I264" s="45"/>
      <c r="J264" s="67"/>
      <c r="K264" s="45"/>
      <c r="L264" s="45" t="s">
        <v>2</v>
      </c>
      <c r="M264" s="45"/>
      <c r="N264" s="67"/>
      <c r="O264" s="45"/>
      <c r="P264" s="45"/>
      <c r="Q264" s="61"/>
      <c r="R264" s="45" t="s">
        <v>2</v>
      </c>
      <c r="S264" s="45"/>
      <c r="T264" s="67"/>
      <c r="U264" s="45"/>
      <c r="V264" s="38" t="s">
        <v>2</v>
      </c>
      <c r="W264" s="45"/>
      <c r="X264" s="67"/>
      <c r="Y264" s="45"/>
      <c r="Z264" s="45" t="s">
        <v>2</v>
      </c>
      <c r="AA264" s="45"/>
      <c r="AB264" s="67"/>
      <c r="AC264" s="45"/>
      <c r="AD264" s="45"/>
      <c r="AE264" s="61"/>
      <c r="AF264" s="45" t="s">
        <v>2</v>
      </c>
      <c r="AG264" s="45"/>
      <c r="AH264" s="67"/>
      <c r="AI264" s="45"/>
      <c r="AJ264" s="38" t="s">
        <v>2</v>
      </c>
      <c r="AK264" s="45"/>
      <c r="AL264" s="67"/>
      <c r="AM264" s="45"/>
      <c r="AN264" s="45" t="s">
        <v>2</v>
      </c>
      <c r="AP264" s="67"/>
      <c r="AS264" s="61"/>
      <c r="AT264" s="45" t="s">
        <v>2</v>
      </c>
      <c r="AU264" s="45"/>
      <c r="AV264" s="67"/>
      <c r="AW264" s="45"/>
      <c r="AX264" s="38" t="s">
        <v>2</v>
      </c>
      <c r="AY264" s="45"/>
      <c r="AZ264" s="67"/>
      <c r="BA264" s="45"/>
      <c r="BB264" s="45"/>
      <c r="BC264" s="45" t="s">
        <v>2</v>
      </c>
      <c r="BD264" s="67"/>
    </row>
    <row r="265" spans="3:56" ht="12" customHeight="1" x14ac:dyDescent="0.2">
      <c r="C265" s="70"/>
      <c r="D265" s="49" t="s">
        <v>3</v>
      </c>
      <c r="E265" s="49"/>
      <c r="F265" s="71"/>
      <c r="G265" s="49"/>
      <c r="H265" s="39" t="s">
        <v>3</v>
      </c>
      <c r="I265" s="49"/>
      <c r="J265" s="71"/>
      <c r="K265" s="49"/>
      <c r="L265" s="49" t="s">
        <v>3</v>
      </c>
      <c r="M265" s="49"/>
      <c r="N265" s="71"/>
      <c r="O265" s="45"/>
      <c r="P265" s="45"/>
      <c r="Q265" s="70"/>
      <c r="R265" s="49" t="s">
        <v>3</v>
      </c>
      <c r="S265" s="49"/>
      <c r="T265" s="71"/>
      <c r="U265" s="49"/>
      <c r="V265" s="39" t="s">
        <v>3</v>
      </c>
      <c r="W265" s="49"/>
      <c r="X265" s="71"/>
      <c r="Y265" s="49"/>
      <c r="Z265" s="49" t="s">
        <v>3</v>
      </c>
      <c r="AA265" s="49"/>
      <c r="AB265" s="71"/>
      <c r="AC265" s="45"/>
      <c r="AD265" s="45"/>
      <c r="AE265" s="70"/>
      <c r="AF265" s="49" t="s">
        <v>3</v>
      </c>
      <c r="AG265" s="49"/>
      <c r="AH265" s="71"/>
      <c r="AI265" s="49"/>
      <c r="AJ265" s="39" t="s">
        <v>3</v>
      </c>
      <c r="AK265" s="49"/>
      <c r="AL265" s="71"/>
      <c r="AM265" s="49"/>
      <c r="AN265" s="49" t="s">
        <v>3</v>
      </c>
      <c r="AP265" s="71"/>
      <c r="AS265" s="70"/>
      <c r="AT265" s="49" t="s">
        <v>3</v>
      </c>
      <c r="AU265" s="49"/>
      <c r="AV265" s="71"/>
      <c r="AW265" s="49"/>
      <c r="AX265" s="39" t="s">
        <v>3</v>
      </c>
      <c r="AY265" s="49"/>
      <c r="AZ265" s="71"/>
      <c r="BA265" s="49"/>
      <c r="BB265" s="49"/>
      <c r="BC265" s="49" t="s">
        <v>3</v>
      </c>
      <c r="BD265" s="71"/>
    </row>
    <row r="266" spans="3:56" ht="12" customHeight="1" x14ac:dyDescent="0.2">
      <c r="C266" s="61"/>
      <c r="D266" s="45" t="s">
        <v>0</v>
      </c>
      <c r="E266" s="67"/>
      <c r="F266" s="45" t="s">
        <v>0</v>
      </c>
      <c r="G266" s="45"/>
      <c r="H266" s="67"/>
      <c r="I266" s="45" t="s">
        <v>0</v>
      </c>
      <c r="J266" s="45"/>
      <c r="K266" s="67"/>
      <c r="L266" s="45" t="s">
        <v>0</v>
      </c>
      <c r="M266" s="45"/>
      <c r="N266" s="67"/>
      <c r="O266" s="45"/>
      <c r="P266" s="45"/>
      <c r="Q266" s="61"/>
      <c r="R266" s="45" t="s">
        <v>0</v>
      </c>
      <c r="S266" s="67"/>
      <c r="T266" s="45" t="s">
        <v>0</v>
      </c>
      <c r="U266" s="45"/>
      <c r="V266" s="67"/>
      <c r="W266" s="45" t="s">
        <v>0</v>
      </c>
      <c r="X266" s="45"/>
      <c r="Y266" s="67"/>
      <c r="Z266" s="45" t="s">
        <v>0</v>
      </c>
      <c r="AA266" s="45"/>
      <c r="AB266" s="67"/>
      <c r="AC266" s="45"/>
      <c r="AD266" s="45"/>
      <c r="AE266" s="61"/>
      <c r="AF266" s="45" t="s">
        <v>0</v>
      </c>
      <c r="AG266" s="67"/>
      <c r="AH266" s="45" t="s">
        <v>0</v>
      </c>
      <c r="AI266" s="45"/>
      <c r="AJ266" s="67"/>
      <c r="AK266" s="45" t="s">
        <v>0</v>
      </c>
      <c r="AL266" s="45"/>
      <c r="AM266" s="67"/>
      <c r="AN266" s="45" t="s">
        <v>0</v>
      </c>
      <c r="AP266" s="67"/>
      <c r="AS266" s="61"/>
      <c r="AT266" s="45" t="s">
        <v>0</v>
      </c>
      <c r="AU266" s="67"/>
      <c r="AV266" s="45" t="s">
        <v>0</v>
      </c>
      <c r="AW266" s="45"/>
      <c r="AX266" s="67"/>
      <c r="AY266" s="45" t="s">
        <v>0</v>
      </c>
      <c r="AZ266" s="45"/>
      <c r="BA266" s="67"/>
      <c r="BB266" s="61"/>
      <c r="BC266" s="45" t="s">
        <v>0</v>
      </c>
      <c r="BD266" s="67"/>
    </row>
    <row r="267" spans="3:56" ht="12" customHeight="1" x14ac:dyDescent="0.2">
      <c r="C267" s="61"/>
      <c r="D267" s="45" t="s">
        <v>1</v>
      </c>
      <c r="E267" s="67"/>
      <c r="F267" s="45" t="s">
        <v>1</v>
      </c>
      <c r="G267" s="45"/>
      <c r="H267" s="67"/>
      <c r="I267" s="45" t="s">
        <v>1</v>
      </c>
      <c r="J267" s="45"/>
      <c r="K267" s="67"/>
      <c r="L267" s="45" t="s">
        <v>1</v>
      </c>
      <c r="M267" s="45"/>
      <c r="N267" s="67"/>
      <c r="O267" s="45"/>
      <c r="P267" s="45"/>
      <c r="Q267" s="61"/>
      <c r="R267" s="45" t="s">
        <v>1</v>
      </c>
      <c r="S267" s="67"/>
      <c r="T267" s="45" t="s">
        <v>1</v>
      </c>
      <c r="U267" s="45"/>
      <c r="V267" s="67"/>
      <c r="W267" s="45" t="s">
        <v>1</v>
      </c>
      <c r="X267" s="45"/>
      <c r="Y267" s="67"/>
      <c r="Z267" s="45" t="s">
        <v>1</v>
      </c>
      <c r="AA267" s="45"/>
      <c r="AB267" s="67"/>
      <c r="AC267" s="45"/>
      <c r="AD267" s="45"/>
      <c r="AE267" s="61"/>
      <c r="AF267" s="45" t="s">
        <v>1</v>
      </c>
      <c r="AG267" s="67"/>
      <c r="AH267" s="45" t="s">
        <v>1</v>
      </c>
      <c r="AI267" s="45"/>
      <c r="AJ267" s="67"/>
      <c r="AK267" s="45" t="s">
        <v>1</v>
      </c>
      <c r="AL267" s="45"/>
      <c r="AM267" s="67"/>
      <c r="AN267" s="45" t="s">
        <v>1</v>
      </c>
      <c r="AP267" s="67"/>
      <c r="AS267" s="61"/>
      <c r="AT267" s="45" t="s">
        <v>1</v>
      </c>
      <c r="AU267" s="67"/>
      <c r="AV267" s="45" t="s">
        <v>1</v>
      </c>
      <c r="AW267" s="45"/>
      <c r="AX267" s="67"/>
      <c r="AY267" s="45" t="s">
        <v>1</v>
      </c>
      <c r="AZ267" s="45"/>
      <c r="BA267" s="67"/>
      <c r="BB267" s="61"/>
      <c r="BC267" s="45" t="s">
        <v>1</v>
      </c>
      <c r="BD267" s="67"/>
    </row>
    <row r="268" spans="3:56" ht="12" customHeight="1" x14ac:dyDescent="0.2">
      <c r="C268" s="61"/>
      <c r="D268" s="45" t="s">
        <v>2</v>
      </c>
      <c r="E268" s="67"/>
      <c r="F268" s="45" t="s">
        <v>2</v>
      </c>
      <c r="G268" s="45"/>
      <c r="H268" s="67"/>
      <c r="I268" s="45" t="s">
        <v>2</v>
      </c>
      <c r="J268" s="45"/>
      <c r="K268" s="67"/>
      <c r="L268" s="45" t="s">
        <v>2</v>
      </c>
      <c r="M268" s="45"/>
      <c r="N268" s="67"/>
      <c r="O268" s="45"/>
      <c r="P268" s="45"/>
      <c r="Q268" s="61"/>
      <c r="R268" s="45" t="s">
        <v>2</v>
      </c>
      <c r="S268" s="67"/>
      <c r="T268" s="45" t="s">
        <v>2</v>
      </c>
      <c r="U268" s="45"/>
      <c r="V268" s="67"/>
      <c r="W268" s="45" t="s">
        <v>2</v>
      </c>
      <c r="X268" s="45"/>
      <c r="Y268" s="67"/>
      <c r="Z268" s="45" t="s">
        <v>2</v>
      </c>
      <c r="AA268" s="45"/>
      <c r="AB268" s="67"/>
      <c r="AC268" s="45"/>
      <c r="AD268" s="45"/>
      <c r="AE268" s="61"/>
      <c r="AF268" s="45" t="s">
        <v>2</v>
      </c>
      <c r="AG268" s="67"/>
      <c r="AH268" s="45" t="s">
        <v>2</v>
      </c>
      <c r="AI268" s="45"/>
      <c r="AJ268" s="67"/>
      <c r="AK268" s="45" t="s">
        <v>2</v>
      </c>
      <c r="AL268" s="45"/>
      <c r="AM268" s="67"/>
      <c r="AN268" s="45" t="s">
        <v>2</v>
      </c>
      <c r="AP268" s="67"/>
      <c r="AS268" s="61"/>
      <c r="AT268" s="45" t="s">
        <v>2</v>
      </c>
      <c r="AU268" s="67"/>
      <c r="AV268" s="45" t="s">
        <v>2</v>
      </c>
      <c r="AW268" s="45"/>
      <c r="AX268" s="67"/>
      <c r="AY268" s="45" t="s">
        <v>2</v>
      </c>
      <c r="AZ268" s="45"/>
      <c r="BA268" s="67"/>
      <c r="BB268" s="61"/>
      <c r="BC268" s="45" t="s">
        <v>2</v>
      </c>
      <c r="BD268" s="67"/>
    </row>
    <row r="269" spans="3:56" ht="12" customHeight="1" x14ac:dyDescent="0.2">
      <c r="C269" s="70"/>
      <c r="D269" s="49" t="s">
        <v>3</v>
      </c>
      <c r="E269" s="71"/>
      <c r="F269" s="49" t="s">
        <v>3</v>
      </c>
      <c r="G269" s="49"/>
      <c r="H269" s="71"/>
      <c r="I269" s="49" t="s">
        <v>3</v>
      </c>
      <c r="J269" s="49"/>
      <c r="K269" s="71"/>
      <c r="L269" s="49" t="s">
        <v>3</v>
      </c>
      <c r="M269" s="49"/>
      <c r="N269" s="71"/>
      <c r="O269" s="45"/>
      <c r="P269" s="45"/>
      <c r="Q269" s="70"/>
      <c r="R269" s="49" t="s">
        <v>3</v>
      </c>
      <c r="S269" s="71"/>
      <c r="T269" s="49" t="s">
        <v>3</v>
      </c>
      <c r="U269" s="49"/>
      <c r="V269" s="71"/>
      <c r="W269" s="49" t="s">
        <v>3</v>
      </c>
      <c r="X269" s="49"/>
      <c r="Y269" s="71"/>
      <c r="Z269" s="49" t="s">
        <v>3</v>
      </c>
      <c r="AA269" s="49"/>
      <c r="AB269" s="71"/>
      <c r="AC269" s="45"/>
      <c r="AD269" s="45"/>
      <c r="AE269" s="70"/>
      <c r="AF269" s="49" t="s">
        <v>3</v>
      </c>
      <c r="AG269" s="71"/>
      <c r="AH269" s="49" t="s">
        <v>3</v>
      </c>
      <c r="AI269" s="49"/>
      <c r="AJ269" s="71"/>
      <c r="AK269" s="49" t="s">
        <v>3</v>
      </c>
      <c r="AL269" s="49"/>
      <c r="AM269" s="71"/>
      <c r="AN269" s="49" t="s">
        <v>3</v>
      </c>
      <c r="AP269" s="71"/>
      <c r="AS269" s="70"/>
      <c r="AT269" s="49" t="s">
        <v>3</v>
      </c>
      <c r="AU269" s="71"/>
      <c r="AV269" s="49" t="s">
        <v>3</v>
      </c>
      <c r="AW269" s="49"/>
      <c r="AX269" s="71"/>
      <c r="AY269" s="49" t="s">
        <v>3</v>
      </c>
      <c r="AZ269" s="49"/>
      <c r="BA269" s="71"/>
      <c r="BB269" s="70"/>
      <c r="BC269" s="49" t="s">
        <v>3</v>
      </c>
      <c r="BD269" s="71"/>
    </row>
    <row r="271" spans="3:56" ht="12" customHeight="1" x14ac:dyDescent="0.2">
      <c r="C271" s="132" t="s">
        <v>55</v>
      </c>
      <c r="D271" s="132"/>
      <c r="E271" s="132"/>
      <c r="F271" s="132"/>
      <c r="G271" s="132"/>
      <c r="H271" s="43"/>
      <c r="I271" s="43"/>
      <c r="J271" s="43"/>
      <c r="K271" s="43"/>
      <c r="L271" s="43"/>
      <c r="M271" s="43"/>
      <c r="N271" s="43"/>
      <c r="O271" s="44"/>
      <c r="P271" s="44"/>
      <c r="Q271" s="44"/>
      <c r="R271" s="44"/>
      <c r="S271" s="44"/>
      <c r="T271" s="44"/>
      <c r="U271" s="44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44"/>
      <c r="AJ271" s="44"/>
      <c r="AK271" s="44"/>
      <c r="AL271" s="44"/>
      <c r="AM271" s="44"/>
      <c r="AN271" s="44"/>
      <c r="AP271" s="44"/>
      <c r="AS271" s="44"/>
      <c r="AT271" s="44"/>
      <c r="AU271" s="44"/>
      <c r="AV271" s="44"/>
      <c r="AW271" s="44"/>
      <c r="AX271" s="44"/>
      <c r="AY271" s="44"/>
      <c r="AZ271" s="44"/>
      <c r="BA271" s="44"/>
      <c r="BB271" s="44"/>
      <c r="BC271" s="44"/>
      <c r="BD271" s="44"/>
    </row>
    <row r="272" spans="3:56" ht="12" customHeight="1" x14ac:dyDescent="0.2">
      <c r="C272" s="133"/>
      <c r="D272" s="133"/>
      <c r="E272" s="133"/>
      <c r="F272" s="133"/>
      <c r="G272" s="133"/>
      <c r="H272" s="44"/>
      <c r="I272" s="44"/>
      <c r="J272" s="44"/>
      <c r="K272" s="44"/>
      <c r="L272" s="44"/>
      <c r="M272" s="44"/>
      <c r="N272" s="44"/>
      <c r="O272" s="44"/>
      <c r="P272" s="44"/>
      <c r="Q272" s="44"/>
      <c r="R272" s="44"/>
      <c r="S272" s="44"/>
      <c r="T272" s="44"/>
      <c r="U272" s="44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44"/>
      <c r="AJ272" s="44"/>
      <c r="AK272" s="44"/>
      <c r="AL272" s="44"/>
      <c r="AM272" s="44"/>
      <c r="AN272" s="44"/>
      <c r="AP272" s="44"/>
      <c r="AS272" s="44"/>
      <c r="AT272" s="44"/>
      <c r="AU272" s="44"/>
      <c r="AV272" s="44"/>
      <c r="AW272" s="44"/>
      <c r="AX272" s="44"/>
      <c r="AY272" s="44"/>
      <c r="AZ272" s="44"/>
      <c r="BA272" s="44"/>
      <c r="BB272" s="44"/>
      <c r="BC272" s="44"/>
      <c r="BD272" s="44"/>
    </row>
    <row r="273" spans="3:56" ht="12" customHeight="1" thickBot="1" x14ac:dyDescent="0.25">
      <c r="C273" s="61"/>
      <c r="D273" s="45" t="s">
        <v>0</v>
      </c>
      <c r="E273" s="45">
        <v>1</v>
      </c>
      <c r="F273" s="62"/>
      <c r="G273" s="45"/>
      <c r="H273" s="46" t="s">
        <v>0</v>
      </c>
      <c r="I273" s="46"/>
      <c r="J273" s="63"/>
      <c r="K273" s="46"/>
      <c r="L273" s="46" t="s">
        <v>0</v>
      </c>
      <c r="M273" s="46"/>
      <c r="N273" s="64"/>
      <c r="O273" s="45"/>
      <c r="P273" s="45"/>
      <c r="Q273" s="65"/>
      <c r="R273" s="46" t="s">
        <v>0</v>
      </c>
      <c r="S273" s="46"/>
      <c r="T273" s="63"/>
      <c r="U273" s="46"/>
      <c r="V273" s="46" t="s">
        <v>0</v>
      </c>
      <c r="W273" s="46"/>
      <c r="X273" s="63"/>
      <c r="Y273" s="46"/>
      <c r="Z273" s="46" t="s">
        <v>0</v>
      </c>
      <c r="AA273" s="46"/>
      <c r="AB273" s="64"/>
      <c r="AC273" s="45"/>
      <c r="AD273" s="45"/>
      <c r="AE273" s="65"/>
      <c r="AF273" s="46" t="s">
        <v>0</v>
      </c>
      <c r="AG273" s="46"/>
      <c r="AH273" s="63"/>
      <c r="AI273" s="46"/>
      <c r="AJ273" s="46" t="s">
        <v>0</v>
      </c>
      <c r="AK273" s="46"/>
      <c r="AL273" s="63"/>
      <c r="AM273" s="81"/>
      <c r="AN273" s="46" t="s">
        <v>0</v>
      </c>
      <c r="AP273" s="64"/>
      <c r="AS273" s="65"/>
      <c r="AT273" s="46" t="s">
        <v>0</v>
      </c>
      <c r="AU273" s="46"/>
      <c r="AV273" s="63"/>
      <c r="AW273" s="46"/>
      <c r="AX273" s="46" t="s">
        <v>0</v>
      </c>
      <c r="AY273" s="46"/>
      <c r="AZ273" s="63"/>
      <c r="BA273" s="81"/>
      <c r="BB273" s="46"/>
      <c r="BC273" s="46" t="s">
        <v>0</v>
      </c>
      <c r="BD273" s="64"/>
    </row>
    <row r="274" spans="3:56" ht="12" customHeight="1" x14ac:dyDescent="0.2">
      <c r="C274" s="61"/>
      <c r="D274" s="45" t="s">
        <v>1</v>
      </c>
      <c r="E274" s="45"/>
      <c r="F274" s="62"/>
      <c r="G274" s="47"/>
      <c r="H274" s="47" t="s">
        <v>1</v>
      </c>
      <c r="I274" s="47"/>
      <c r="J274" s="66"/>
      <c r="K274" s="45"/>
      <c r="L274" s="45" t="s">
        <v>1</v>
      </c>
      <c r="M274" s="45"/>
      <c r="N274" s="67"/>
      <c r="O274" s="45"/>
      <c r="P274" s="45"/>
      <c r="Q274" s="61"/>
      <c r="R274" s="45" t="s">
        <v>1</v>
      </c>
      <c r="S274" s="45"/>
      <c r="T274" s="62"/>
      <c r="U274" s="47"/>
      <c r="V274" s="47" t="s">
        <v>1</v>
      </c>
      <c r="W274" s="47"/>
      <c r="X274" s="66"/>
      <c r="Y274" s="45"/>
      <c r="Z274" s="45" t="s">
        <v>1</v>
      </c>
      <c r="AA274" s="45"/>
      <c r="AB274" s="67"/>
      <c r="AC274" s="45"/>
      <c r="AD274" s="45"/>
      <c r="AE274" s="61"/>
      <c r="AF274" s="45" t="s">
        <v>1</v>
      </c>
      <c r="AG274" s="45"/>
      <c r="AH274" s="62"/>
      <c r="AI274" s="47"/>
      <c r="AJ274" s="47" t="s">
        <v>1</v>
      </c>
      <c r="AK274" s="47"/>
      <c r="AL274" s="66"/>
      <c r="AM274" s="82"/>
      <c r="AN274" s="45" t="s">
        <v>1</v>
      </c>
      <c r="AP274" s="67"/>
      <c r="AS274" s="61"/>
      <c r="AT274" s="45" t="s">
        <v>1</v>
      </c>
      <c r="AU274" s="45"/>
      <c r="AV274" s="62"/>
      <c r="AW274" s="47"/>
      <c r="AX274" s="47" t="s">
        <v>1</v>
      </c>
      <c r="AY274" s="47"/>
      <c r="AZ274" s="66"/>
      <c r="BA274" s="82"/>
      <c r="BB274" s="45"/>
      <c r="BC274" s="45" t="s">
        <v>1</v>
      </c>
      <c r="BD274" s="67"/>
    </row>
    <row r="275" spans="3:56" ht="12" customHeight="1" x14ac:dyDescent="0.2">
      <c r="C275" s="61"/>
      <c r="D275" s="45" t="s">
        <v>2</v>
      </c>
      <c r="E275" s="45"/>
      <c r="F275" s="62"/>
      <c r="G275" s="45"/>
      <c r="H275" s="45" t="s">
        <v>2</v>
      </c>
      <c r="I275" s="45"/>
      <c r="J275" s="62"/>
      <c r="K275" s="45"/>
      <c r="L275" s="45" t="s">
        <v>2</v>
      </c>
      <c r="M275" s="45"/>
      <c r="N275" s="67"/>
      <c r="O275" s="45"/>
      <c r="P275" s="45"/>
      <c r="Q275" s="61"/>
      <c r="R275" s="45" t="s">
        <v>2</v>
      </c>
      <c r="S275" s="45"/>
      <c r="T275" s="62"/>
      <c r="U275" s="45"/>
      <c r="V275" s="45" t="s">
        <v>2</v>
      </c>
      <c r="W275" s="45"/>
      <c r="X275" s="62"/>
      <c r="Y275" s="45"/>
      <c r="Z275" s="45" t="s">
        <v>2</v>
      </c>
      <c r="AA275" s="45">
        <v>1</v>
      </c>
      <c r="AB275" s="67"/>
      <c r="AC275" s="45"/>
      <c r="AD275" s="45"/>
      <c r="AE275" s="61"/>
      <c r="AF275" s="45" t="s">
        <v>2</v>
      </c>
      <c r="AG275" s="45"/>
      <c r="AH275" s="62"/>
      <c r="AI275" s="45"/>
      <c r="AJ275" s="45" t="s">
        <v>2</v>
      </c>
      <c r="AK275" s="45"/>
      <c r="AL275" s="62"/>
      <c r="AM275" s="82"/>
      <c r="AN275" s="45" t="s">
        <v>2</v>
      </c>
      <c r="AP275" s="67"/>
      <c r="AS275" s="61"/>
      <c r="AT275" s="45" t="s">
        <v>2</v>
      </c>
      <c r="AU275" s="45"/>
      <c r="AV275" s="62"/>
      <c r="AW275" s="45"/>
      <c r="AX275" s="45" t="s">
        <v>2</v>
      </c>
      <c r="AY275" s="45"/>
      <c r="AZ275" s="62"/>
      <c r="BA275" s="82"/>
      <c r="BB275" s="45"/>
      <c r="BC275" s="45" t="s">
        <v>2</v>
      </c>
      <c r="BD275" s="67"/>
    </row>
    <row r="276" spans="3:56" ht="12" customHeight="1" thickBot="1" x14ac:dyDescent="0.25">
      <c r="C276" s="61"/>
      <c r="D276" s="45" t="s">
        <v>3</v>
      </c>
      <c r="E276" s="45"/>
      <c r="F276" s="68"/>
      <c r="G276" s="48"/>
      <c r="H276" s="48" t="s">
        <v>3</v>
      </c>
      <c r="I276" s="48"/>
      <c r="J276" s="69"/>
      <c r="K276" s="45"/>
      <c r="L276" s="45" t="s">
        <v>3</v>
      </c>
      <c r="M276" s="45"/>
      <c r="N276" s="67"/>
      <c r="O276" s="45"/>
      <c r="P276" s="45"/>
      <c r="Q276" s="61"/>
      <c r="R276" s="45" t="s">
        <v>3</v>
      </c>
      <c r="S276" s="45"/>
      <c r="T276" s="68"/>
      <c r="U276" s="48"/>
      <c r="V276" s="48" t="s">
        <v>3</v>
      </c>
      <c r="W276" s="48"/>
      <c r="X276" s="69"/>
      <c r="Y276" s="45"/>
      <c r="Z276" s="45" t="s">
        <v>3</v>
      </c>
      <c r="AA276" s="45"/>
      <c r="AB276" s="67"/>
      <c r="AC276" s="45"/>
      <c r="AD276" s="45"/>
      <c r="AE276" s="61"/>
      <c r="AF276" s="45" t="s">
        <v>3</v>
      </c>
      <c r="AG276" s="45"/>
      <c r="AH276" s="68"/>
      <c r="AI276" s="48"/>
      <c r="AJ276" s="48" t="s">
        <v>3</v>
      </c>
      <c r="AK276" s="48"/>
      <c r="AL276" s="69"/>
      <c r="AM276" s="83"/>
      <c r="AN276" s="45" t="s">
        <v>3</v>
      </c>
      <c r="AP276" s="67"/>
      <c r="AS276" s="61"/>
      <c r="AT276" s="45" t="s">
        <v>3</v>
      </c>
      <c r="AU276" s="45"/>
      <c r="AV276" s="68"/>
      <c r="AW276" s="48"/>
      <c r="AX276" s="48" t="s">
        <v>3</v>
      </c>
      <c r="AY276" s="48"/>
      <c r="AZ276" s="69"/>
      <c r="BA276" s="83"/>
      <c r="BB276" s="45"/>
      <c r="BC276" s="45" t="s">
        <v>3</v>
      </c>
      <c r="BD276" s="67"/>
    </row>
    <row r="277" spans="3:56" ht="12" customHeight="1" x14ac:dyDescent="0.2">
      <c r="C277" s="65"/>
      <c r="D277" s="46" t="s">
        <v>0</v>
      </c>
      <c r="E277" s="46"/>
      <c r="F277" s="67"/>
      <c r="G277" s="45"/>
      <c r="H277" s="40" t="s">
        <v>0</v>
      </c>
      <c r="I277" s="45"/>
      <c r="J277" s="62"/>
      <c r="K277" s="46"/>
      <c r="L277" s="46" t="s">
        <v>0</v>
      </c>
      <c r="M277" s="46">
        <v>1</v>
      </c>
      <c r="N277" s="64"/>
      <c r="O277" s="45"/>
      <c r="P277" s="45"/>
      <c r="Q277" s="65"/>
      <c r="R277" s="46" t="s">
        <v>0</v>
      </c>
      <c r="S277" s="46"/>
      <c r="T277" s="67"/>
      <c r="U277" s="45"/>
      <c r="V277" s="40" t="s">
        <v>0</v>
      </c>
      <c r="W277" s="45">
        <v>2</v>
      </c>
      <c r="X277" s="62"/>
      <c r="Y277" s="46"/>
      <c r="Z277" s="46" t="s">
        <v>0</v>
      </c>
      <c r="AA277" s="46"/>
      <c r="AB277" s="64"/>
      <c r="AC277" s="45"/>
      <c r="AD277" s="45"/>
      <c r="AE277" s="65"/>
      <c r="AF277" s="46" t="s">
        <v>0</v>
      </c>
      <c r="AG277" s="46"/>
      <c r="AH277" s="67"/>
      <c r="AI277" s="45"/>
      <c r="AJ277" s="40" t="s">
        <v>0</v>
      </c>
      <c r="AK277" s="45"/>
      <c r="AL277" s="62"/>
      <c r="AM277" s="46"/>
      <c r="AN277" s="46" t="s">
        <v>0</v>
      </c>
      <c r="AO277">
        <v>2</v>
      </c>
      <c r="AP277" s="64"/>
      <c r="AS277" s="65"/>
      <c r="AT277" s="46" t="s">
        <v>0</v>
      </c>
      <c r="AU277" s="46"/>
      <c r="AV277" s="67"/>
      <c r="AW277" s="45"/>
      <c r="AX277" s="40" t="s">
        <v>0</v>
      </c>
      <c r="AY277" s="45"/>
      <c r="AZ277" s="62"/>
      <c r="BA277" s="46"/>
      <c r="BB277" s="46"/>
      <c r="BC277" s="46" t="s">
        <v>0</v>
      </c>
      <c r="BD277" s="64"/>
    </row>
    <row r="278" spans="3:56" ht="12" customHeight="1" x14ac:dyDescent="0.2">
      <c r="C278" s="61"/>
      <c r="D278" s="45" t="s">
        <v>1</v>
      </c>
      <c r="E278" s="45"/>
      <c r="F278" s="67"/>
      <c r="G278" s="45"/>
      <c r="H278" s="38" t="s">
        <v>1</v>
      </c>
      <c r="I278" s="45"/>
      <c r="J278" s="67"/>
      <c r="K278" s="45"/>
      <c r="L278" s="45" t="s">
        <v>1</v>
      </c>
      <c r="M278" s="45"/>
      <c r="N278" s="67"/>
      <c r="O278" s="45"/>
      <c r="P278" s="45"/>
      <c r="Q278" s="61"/>
      <c r="R278" s="45" t="s">
        <v>1</v>
      </c>
      <c r="S278" s="45"/>
      <c r="T278" s="67"/>
      <c r="U278" s="45"/>
      <c r="V278" s="38" t="s">
        <v>1</v>
      </c>
      <c r="W278" s="45"/>
      <c r="X278" s="67"/>
      <c r="Y278" s="45"/>
      <c r="Z278" s="45" t="s">
        <v>1</v>
      </c>
      <c r="AA278" s="45"/>
      <c r="AB278" s="67"/>
      <c r="AC278" s="45"/>
      <c r="AD278" s="45"/>
      <c r="AE278" s="61"/>
      <c r="AF278" s="45" t="s">
        <v>1</v>
      </c>
      <c r="AG278" s="45"/>
      <c r="AH278" s="67"/>
      <c r="AI278" s="45"/>
      <c r="AJ278" s="38" t="s">
        <v>1</v>
      </c>
      <c r="AK278" s="45"/>
      <c r="AL278" s="67"/>
      <c r="AM278" s="45"/>
      <c r="AN278" s="45" t="s">
        <v>1</v>
      </c>
      <c r="AO278">
        <v>1</v>
      </c>
      <c r="AP278" s="67"/>
      <c r="AS278" s="61"/>
      <c r="AT278" s="45" t="s">
        <v>1</v>
      </c>
      <c r="AU278" s="45"/>
      <c r="AV278" s="67"/>
      <c r="AW278" s="45"/>
      <c r="AX278" s="38" t="s">
        <v>1</v>
      </c>
      <c r="AY278" s="45"/>
      <c r="AZ278" s="67"/>
      <c r="BA278" s="45"/>
      <c r="BB278" s="45"/>
      <c r="BC278" s="45" t="s">
        <v>1</v>
      </c>
      <c r="BD278" s="67"/>
    </row>
    <row r="279" spans="3:56" ht="12" customHeight="1" x14ac:dyDescent="0.2">
      <c r="C279" s="61"/>
      <c r="D279" s="45" t="s">
        <v>2</v>
      </c>
      <c r="E279" s="45"/>
      <c r="F279" s="67"/>
      <c r="G279" s="45"/>
      <c r="H279" s="38" t="s">
        <v>2</v>
      </c>
      <c r="I279" s="45"/>
      <c r="J279" s="67"/>
      <c r="K279" s="45"/>
      <c r="L279" s="45" t="s">
        <v>2</v>
      </c>
      <c r="M279" s="45"/>
      <c r="N279" s="67"/>
      <c r="O279" s="45"/>
      <c r="P279" s="45"/>
      <c r="Q279" s="61"/>
      <c r="R279" s="45" t="s">
        <v>2</v>
      </c>
      <c r="S279" s="45"/>
      <c r="T279" s="67"/>
      <c r="U279" s="45"/>
      <c r="V279" s="38" t="s">
        <v>2</v>
      </c>
      <c r="W279" s="45"/>
      <c r="X279" s="67"/>
      <c r="Y279" s="45"/>
      <c r="Z279" s="45" t="s">
        <v>2</v>
      </c>
      <c r="AA279" s="45">
        <v>2</v>
      </c>
      <c r="AB279" s="67"/>
      <c r="AC279" s="45"/>
      <c r="AD279" s="45"/>
      <c r="AE279" s="61"/>
      <c r="AF279" s="45" t="s">
        <v>2</v>
      </c>
      <c r="AG279" s="45"/>
      <c r="AH279" s="67"/>
      <c r="AI279" s="45"/>
      <c r="AJ279" s="38" t="s">
        <v>2</v>
      </c>
      <c r="AK279" s="45"/>
      <c r="AL279" s="67"/>
      <c r="AM279" s="45"/>
      <c r="AN279" s="45" t="s">
        <v>2</v>
      </c>
      <c r="AP279" s="67"/>
      <c r="AS279" s="61"/>
      <c r="AT279" s="45" t="s">
        <v>2</v>
      </c>
      <c r="AU279" s="45"/>
      <c r="AV279" s="67"/>
      <c r="AW279" s="45"/>
      <c r="AX279" s="38" t="s">
        <v>2</v>
      </c>
      <c r="AY279" s="45"/>
      <c r="AZ279" s="67"/>
      <c r="BA279" s="45"/>
      <c r="BB279" s="45"/>
      <c r="BC279" s="45" t="s">
        <v>2</v>
      </c>
      <c r="BD279" s="67"/>
    </row>
    <row r="280" spans="3:56" ht="12" customHeight="1" x14ac:dyDescent="0.2">
      <c r="C280" s="70"/>
      <c r="D280" s="49" t="s">
        <v>3</v>
      </c>
      <c r="E280" s="49"/>
      <c r="F280" s="71"/>
      <c r="G280" s="49"/>
      <c r="H280" s="39" t="s">
        <v>3</v>
      </c>
      <c r="I280" s="49"/>
      <c r="J280" s="71"/>
      <c r="K280" s="49"/>
      <c r="L280" s="49" t="s">
        <v>3</v>
      </c>
      <c r="M280" s="49"/>
      <c r="N280" s="71"/>
      <c r="O280" s="45"/>
      <c r="P280" s="45"/>
      <c r="Q280" s="70"/>
      <c r="R280" s="49" t="s">
        <v>3</v>
      </c>
      <c r="S280" s="49"/>
      <c r="T280" s="71"/>
      <c r="U280" s="49"/>
      <c r="V280" s="39" t="s">
        <v>3</v>
      </c>
      <c r="W280" s="49">
        <v>1</v>
      </c>
      <c r="X280" s="71"/>
      <c r="Y280" s="49"/>
      <c r="Z280" s="49" t="s">
        <v>3</v>
      </c>
      <c r="AA280" s="49"/>
      <c r="AB280" s="71"/>
      <c r="AC280" s="45"/>
      <c r="AD280" s="45"/>
      <c r="AE280" s="70"/>
      <c r="AF280" s="49" t="s">
        <v>3</v>
      </c>
      <c r="AG280" s="49"/>
      <c r="AH280" s="71"/>
      <c r="AI280" s="49"/>
      <c r="AJ280" s="39" t="s">
        <v>3</v>
      </c>
      <c r="AK280" s="49"/>
      <c r="AL280" s="71"/>
      <c r="AM280" s="49"/>
      <c r="AN280" s="49" t="s">
        <v>3</v>
      </c>
      <c r="AO280">
        <v>1</v>
      </c>
      <c r="AP280" s="71"/>
      <c r="AS280" s="70"/>
      <c r="AT280" s="49" t="s">
        <v>3</v>
      </c>
      <c r="AU280" s="49"/>
      <c r="AV280" s="71"/>
      <c r="AW280" s="49"/>
      <c r="AX280" s="39" t="s">
        <v>3</v>
      </c>
      <c r="AY280" s="49"/>
      <c r="AZ280" s="71"/>
      <c r="BA280" s="49"/>
      <c r="BB280" s="49"/>
      <c r="BC280" s="49" t="s">
        <v>3</v>
      </c>
      <c r="BD280" s="71"/>
    </row>
    <row r="281" spans="3:56" ht="12" customHeight="1" x14ac:dyDescent="0.2">
      <c r="C281" s="61"/>
      <c r="D281" s="45" t="s">
        <v>0</v>
      </c>
      <c r="E281" s="67"/>
      <c r="F281" s="45" t="s">
        <v>0</v>
      </c>
      <c r="G281" s="45"/>
      <c r="H281" s="67"/>
      <c r="I281" s="45" t="s">
        <v>0</v>
      </c>
      <c r="J281" s="45"/>
      <c r="K281" s="67"/>
      <c r="L281" s="45" t="s">
        <v>0</v>
      </c>
      <c r="M281" s="45"/>
      <c r="N281" s="67"/>
      <c r="O281" s="45"/>
      <c r="P281" s="45"/>
      <c r="Q281" s="61"/>
      <c r="R281" s="45" t="s">
        <v>0</v>
      </c>
      <c r="S281" s="67"/>
      <c r="T281" s="45" t="s">
        <v>0</v>
      </c>
      <c r="U281" s="45"/>
      <c r="V281" s="67"/>
      <c r="W281" s="45" t="s">
        <v>0</v>
      </c>
      <c r="X281" s="45"/>
      <c r="Y281" s="67"/>
      <c r="Z281" s="45" t="s">
        <v>0</v>
      </c>
      <c r="AA281" s="45"/>
      <c r="AB281" s="67"/>
      <c r="AC281" s="45"/>
      <c r="AD281" s="45"/>
      <c r="AE281" s="61"/>
      <c r="AF281" s="45" t="s">
        <v>0</v>
      </c>
      <c r="AG281" s="67"/>
      <c r="AH281" s="45" t="s">
        <v>0</v>
      </c>
      <c r="AI281" s="45"/>
      <c r="AJ281" s="67"/>
      <c r="AK281" s="45" t="s">
        <v>0</v>
      </c>
      <c r="AL281" s="45"/>
      <c r="AM281" s="67"/>
      <c r="AN281" s="45" t="s">
        <v>0</v>
      </c>
      <c r="AP281" s="67"/>
      <c r="AS281" s="61"/>
      <c r="AT281" s="45" t="s">
        <v>0</v>
      </c>
      <c r="AU281" s="67"/>
      <c r="AV281" s="45" t="s">
        <v>0</v>
      </c>
      <c r="AW281" s="45"/>
      <c r="AX281" s="67"/>
      <c r="AY281" s="45" t="s">
        <v>0</v>
      </c>
      <c r="AZ281" s="45"/>
      <c r="BA281" s="67"/>
      <c r="BB281" s="61"/>
      <c r="BC281" s="45" t="s">
        <v>0</v>
      </c>
      <c r="BD281" s="67"/>
    </row>
    <row r="282" spans="3:56" ht="12" customHeight="1" x14ac:dyDescent="0.2">
      <c r="C282" s="61"/>
      <c r="D282" s="45" t="s">
        <v>1</v>
      </c>
      <c r="E282" s="67"/>
      <c r="F282" s="45" t="s">
        <v>1</v>
      </c>
      <c r="G282" s="45"/>
      <c r="H282" s="67"/>
      <c r="I282" s="45" t="s">
        <v>1</v>
      </c>
      <c r="J282" s="45"/>
      <c r="K282" s="67"/>
      <c r="L282" s="45" t="s">
        <v>1</v>
      </c>
      <c r="M282" s="45"/>
      <c r="N282" s="67"/>
      <c r="O282" s="45"/>
      <c r="P282" s="45"/>
      <c r="Q282" s="61"/>
      <c r="R282" s="45" t="s">
        <v>1</v>
      </c>
      <c r="S282" s="67"/>
      <c r="T282" s="45" t="s">
        <v>1</v>
      </c>
      <c r="U282" s="45"/>
      <c r="V282" s="67"/>
      <c r="W282" s="45" t="s">
        <v>1</v>
      </c>
      <c r="X282" s="45"/>
      <c r="Y282" s="67"/>
      <c r="Z282" s="45" t="s">
        <v>1</v>
      </c>
      <c r="AA282" s="45"/>
      <c r="AB282" s="67"/>
      <c r="AC282" s="45"/>
      <c r="AD282" s="45"/>
      <c r="AE282" s="61"/>
      <c r="AF282" s="45" t="s">
        <v>1</v>
      </c>
      <c r="AG282" s="67"/>
      <c r="AH282" s="45" t="s">
        <v>1</v>
      </c>
      <c r="AI282" s="45"/>
      <c r="AJ282" s="67"/>
      <c r="AK282" s="45" t="s">
        <v>1</v>
      </c>
      <c r="AL282" s="45"/>
      <c r="AM282" s="67"/>
      <c r="AN282" s="45" t="s">
        <v>1</v>
      </c>
      <c r="AP282" s="67"/>
      <c r="AS282" s="61"/>
      <c r="AT282" s="45" t="s">
        <v>1</v>
      </c>
      <c r="AU282" s="67"/>
      <c r="AV282" s="45" t="s">
        <v>1</v>
      </c>
      <c r="AW282" s="45"/>
      <c r="AX282" s="67"/>
      <c r="AY282" s="45" t="s">
        <v>1</v>
      </c>
      <c r="AZ282" s="45"/>
      <c r="BA282" s="67"/>
      <c r="BB282" s="61"/>
      <c r="BC282" s="45" t="s">
        <v>1</v>
      </c>
      <c r="BD282" s="67"/>
    </row>
    <row r="283" spans="3:56" ht="12" customHeight="1" x14ac:dyDescent="0.2">
      <c r="C283" s="61"/>
      <c r="D283" s="45" t="s">
        <v>2</v>
      </c>
      <c r="E283" s="67"/>
      <c r="F283" s="45" t="s">
        <v>2</v>
      </c>
      <c r="G283" s="45"/>
      <c r="H283" s="67"/>
      <c r="I283" s="45" t="s">
        <v>2</v>
      </c>
      <c r="J283" s="45"/>
      <c r="K283" s="67"/>
      <c r="L283" s="45" t="s">
        <v>2</v>
      </c>
      <c r="M283" s="45"/>
      <c r="N283" s="67"/>
      <c r="O283" s="45"/>
      <c r="P283" s="45"/>
      <c r="Q283" s="61"/>
      <c r="R283" s="45" t="s">
        <v>2</v>
      </c>
      <c r="S283" s="67"/>
      <c r="T283" s="45" t="s">
        <v>2</v>
      </c>
      <c r="U283" s="45"/>
      <c r="V283" s="67"/>
      <c r="W283" s="45" t="s">
        <v>2</v>
      </c>
      <c r="X283" s="45"/>
      <c r="Y283" s="67"/>
      <c r="Z283" s="45" t="s">
        <v>2</v>
      </c>
      <c r="AA283" s="45"/>
      <c r="AB283" s="67"/>
      <c r="AC283" s="45"/>
      <c r="AD283" s="45"/>
      <c r="AE283" s="61"/>
      <c r="AF283" s="45" t="s">
        <v>2</v>
      </c>
      <c r="AG283" s="67"/>
      <c r="AH283" s="45" t="s">
        <v>2</v>
      </c>
      <c r="AI283" s="45"/>
      <c r="AJ283" s="67"/>
      <c r="AK283" s="45" t="s">
        <v>2</v>
      </c>
      <c r="AL283" s="45"/>
      <c r="AM283" s="67"/>
      <c r="AN283" s="45" t="s">
        <v>2</v>
      </c>
      <c r="AP283" s="67"/>
      <c r="AS283" s="61"/>
      <c r="AT283" s="45" t="s">
        <v>2</v>
      </c>
      <c r="AU283" s="67"/>
      <c r="AV283" s="45" t="s">
        <v>2</v>
      </c>
      <c r="AW283" s="45"/>
      <c r="AX283" s="67"/>
      <c r="AY283" s="45" t="s">
        <v>2</v>
      </c>
      <c r="AZ283" s="45"/>
      <c r="BA283" s="67"/>
      <c r="BB283" s="61"/>
      <c r="BC283" s="45" t="s">
        <v>2</v>
      </c>
      <c r="BD283" s="67"/>
    </row>
    <row r="284" spans="3:56" ht="12" customHeight="1" x14ac:dyDescent="0.2">
      <c r="C284" s="70"/>
      <c r="D284" s="49" t="s">
        <v>3</v>
      </c>
      <c r="E284" s="71"/>
      <c r="F284" s="49" t="s">
        <v>3</v>
      </c>
      <c r="G284" s="49"/>
      <c r="H284" s="71"/>
      <c r="I284" s="49" t="s">
        <v>3</v>
      </c>
      <c r="J284" s="49"/>
      <c r="K284" s="71"/>
      <c r="L284" s="49" t="s">
        <v>3</v>
      </c>
      <c r="M284" s="49"/>
      <c r="N284" s="71"/>
      <c r="O284" s="45"/>
      <c r="P284" s="45"/>
      <c r="Q284" s="70"/>
      <c r="R284" s="49" t="s">
        <v>3</v>
      </c>
      <c r="S284" s="71"/>
      <c r="T284" s="49" t="s">
        <v>3</v>
      </c>
      <c r="U284" s="49"/>
      <c r="V284" s="71"/>
      <c r="W284" s="49" t="s">
        <v>3</v>
      </c>
      <c r="X284" s="49"/>
      <c r="Y284" s="71"/>
      <c r="Z284" s="49" t="s">
        <v>3</v>
      </c>
      <c r="AA284" s="49"/>
      <c r="AB284" s="71"/>
      <c r="AC284" s="45"/>
      <c r="AD284" s="45"/>
      <c r="AE284" s="70"/>
      <c r="AF284" s="49" t="s">
        <v>3</v>
      </c>
      <c r="AG284" s="71"/>
      <c r="AH284" s="49" t="s">
        <v>3</v>
      </c>
      <c r="AI284" s="49"/>
      <c r="AJ284" s="71"/>
      <c r="AK284" s="49" t="s">
        <v>3</v>
      </c>
      <c r="AL284" s="49"/>
      <c r="AM284" s="71"/>
      <c r="AN284" s="49" t="s">
        <v>3</v>
      </c>
      <c r="AP284" s="71"/>
      <c r="AS284" s="70"/>
      <c r="AT284" s="49" t="s">
        <v>3</v>
      </c>
      <c r="AU284" s="71"/>
      <c r="AV284" s="49" t="s">
        <v>3</v>
      </c>
      <c r="AW284" s="49"/>
      <c r="AX284" s="71"/>
      <c r="AY284" s="49" t="s">
        <v>3</v>
      </c>
      <c r="AZ284" s="49"/>
      <c r="BA284" s="71"/>
      <c r="BB284" s="70"/>
      <c r="BC284" s="49" t="s">
        <v>3</v>
      </c>
      <c r="BD284" s="71"/>
    </row>
    <row r="286" spans="3:56" ht="12" customHeight="1" x14ac:dyDescent="0.2">
      <c r="C286" s="132" t="s">
        <v>132</v>
      </c>
      <c r="D286" s="132"/>
      <c r="E286" s="132"/>
      <c r="F286" s="132"/>
      <c r="G286" s="132"/>
      <c r="H286" s="43"/>
      <c r="I286" s="43"/>
      <c r="J286" s="43"/>
      <c r="K286" s="43"/>
      <c r="L286" s="43"/>
      <c r="M286" s="43"/>
      <c r="N286" s="43"/>
      <c r="O286" s="44"/>
      <c r="P286" s="44"/>
      <c r="Q286" s="44"/>
      <c r="R286" s="44"/>
      <c r="S286" s="44"/>
      <c r="T286" s="44"/>
      <c r="U286" s="44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44"/>
      <c r="AJ286" s="44"/>
      <c r="AK286" s="44"/>
      <c r="AL286" s="44"/>
      <c r="AM286" s="44"/>
      <c r="AN286" s="44"/>
      <c r="AP286" s="44"/>
      <c r="AS286" s="44"/>
      <c r="AT286" s="44"/>
      <c r="AU286" s="44"/>
      <c r="AV286" s="44"/>
      <c r="AW286" s="44"/>
      <c r="AX286" s="44"/>
      <c r="AY286" s="44"/>
      <c r="AZ286" s="44"/>
      <c r="BA286" s="44"/>
      <c r="BB286" s="44"/>
      <c r="BC286" s="44"/>
      <c r="BD286" s="44"/>
    </row>
    <row r="287" spans="3:56" ht="12" customHeight="1" x14ac:dyDescent="0.2">
      <c r="C287" s="133"/>
      <c r="D287" s="133"/>
      <c r="E287" s="133"/>
      <c r="F287" s="133"/>
      <c r="G287" s="133"/>
      <c r="H287" s="44"/>
      <c r="I287" s="44"/>
      <c r="J287" s="44"/>
      <c r="K287" s="44"/>
      <c r="L287" s="44"/>
      <c r="M287" s="44"/>
      <c r="N287" s="44"/>
      <c r="O287" s="44"/>
      <c r="P287" s="44"/>
      <c r="Q287" s="44"/>
      <c r="R287" s="44"/>
      <c r="S287" s="44"/>
      <c r="T287" s="44"/>
      <c r="U287" s="44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44"/>
      <c r="AJ287" s="44"/>
      <c r="AK287" s="44"/>
      <c r="AL287" s="44"/>
      <c r="AM287" s="44"/>
      <c r="AN287" s="44"/>
      <c r="AP287" s="44"/>
      <c r="AS287" s="44"/>
      <c r="AT287" s="44"/>
      <c r="AU287" s="44"/>
      <c r="AV287" s="44"/>
      <c r="AW287" s="44"/>
      <c r="AX287" s="44"/>
      <c r="AY287" s="44"/>
      <c r="AZ287" s="44"/>
      <c r="BA287" s="44"/>
      <c r="BB287" s="44"/>
      <c r="BC287" s="44"/>
      <c r="BD287" s="44"/>
    </row>
    <row r="288" spans="3:56" ht="12" customHeight="1" thickBot="1" x14ac:dyDescent="0.25">
      <c r="C288" s="61"/>
      <c r="D288" s="45" t="s">
        <v>0</v>
      </c>
      <c r="E288" s="45"/>
      <c r="F288" s="62"/>
      <c r="G288" s="45"/>
      <c r="H288" s="46" t="s">
        <v>0</v>
      </c>
      <c r="I288" s="46"/>
      <c r="J288" s="63"/>
      <c r="K288" s="46"/>
      <c r="L288" s="46" t="s">
        <v>0</v>
      </c>
      <c r="M288" s="46"/>
      <c r="N288" s="64"/>
      <c r="O288" s="45"/>
      <c r="P288" s="45"/>
      <c r="Q288" s="65"/>
      <c r="R288" s="46" t="s">
        <v>0</v>
      </c>
      <c r="S288" s="46"/>
      <c r="T288" s="63"/>
      <c r="U288" s="46"/>
      <c r="V288" s="46" t="s">
        <v>0</v>
      </c>
      <c r="W288" s="46"/>
      <c r="X288" s="63"/>
      <c r="Y288" s="46"/>
      <c r="Z288" s="46" t="s">
        <v>0</v>
      </c>
      <c r="AA288" s="46"/>
      <c r="AB288" s="64"/>
      <c r="AC288" s="45"/>
      <c r="AD288" s="45"/>
      <c r="AE288" s="65"/>
      <c r="AF288" s="46" t="s">
        <v>0</v>
      </c>
      <c r="AG288" s="46"/>
      <c r="AH288" s="63"/>
      <c r="AI288" s="46"/>
      <c r="AJ288" s="46" t="s">
        <v>0</v>
      </c>
      <c r="AK288" s="46"/>
      <c r="AL288" s="63"/>
      <c r="AM288" s="81"/>
      <c r="AN288" s="46" t="s">
        <v>0</v>
      </c>
      <c r="AP288" s="64"/>
      <c r="AS288" s="65"/>
      <c r="AT288" s="46" t="s">
        <v>0</v>
      </c>
      <c r="AU288" s="46"/>
      <c r="AV288" s="63"/>
      <c r="AW288" s="46"/>
      <c r="AX288" s="46" t="s">
        <v>0</v>
      </c>
      <c r="AY288" s="46"/>
      <c r="AZ288" s="63"/>
      <c r="BA288" s="81"/>
      <c r="BB288" s="46"/>
      <c r="BC288" s="46" t="s">
        <v>0</v>
      </c>
      <c r="BD288" s="64"/>
    </row>
    <row r="289" spans="3:56" ht="12" customHeight="1" x14ac:dyDescent="0.2">
      <c r="C289" s="61"/>
      <c r="D289" s="45" t="s">
        <v>1</v>
      </c>
      <c r="E289" s="45"/>
      <c r="F289" s="62"/>
      <c r="G289" s="47"/>
      <c r="H289" s="47" t="s">
        <v>1</v>
      </c>
      <c r="I289" s="47"/>
      <c r="J289" s="66"/>
      <c r="K289" s="45"/>
      <c r="L289" s="45" t="s">
        <v>1</v>
      </c>
      <c r="M289" s="45"/>
      <c r="N289" s="67"/>
      <c r="O289" s="45"/>
      <c r="P289" s="45"/>
      <c r="Q289" s="61"/>
      <c r="R289" s="45" t="s">
        <v>1</v>
      </c>
      <c r="S289" s="45"/>
      <c r="T289" s="62"/>
      <c r="U289" s="47"/>
      <c r="V289" s="47" t="s">
        <v>1</v>
      </c>
      <c r="W289" s="47"/>
      <c r="X289" s="66"/>
      <c r="Y289" s="45"/>
      <c r="Z289" s="45" t="s">
        <v>1</v>
      </c>
      <c r="AA289" s="45"/>
      <c r="AB289" s="67"/>
      <c r="AC289" s="45"/>
      <c r="AD289" s="45"/>
      <c r="AE289" s="61"/>
      <c r="AF289" s="45" t="s">
        <v>1</v>
      </c>
      <c r="AG289" s="45">
        <v>1</v>
      </c>
      <c r="AH289" s="62"/>
      <c r="AI289" s="47"/>
      <c r="AJ289" s="47" t="s">
        <v>1</v>
      </c>
      <c r="AK289" s="47"/>
      <c r="AL289" s="66"/>
      <c r="AM289" s="82"/>
      <c r="AN289" s="45" t="s">
        <v>1</v>
      </c>
      <c r="AP289" s="67"/>
      <c r="AS289" s="61"/>
      <c r="AT289" s="45" t="s">
        <v>1</v>
      </c>
      <c r="AU289" s="45"/>
      <c r="AV289" s="62"/>
      <c r="AW289" s="47"/>
      <c r="AX289" s="47" t="s">
        <v>1</v>
      </c>
      <c r="AY289" s="47"/>
      <c r="AZ289" s="66"/>
      <c r="BA289" s="82"/>
      <c r="BB289" s="45"/>
      <c r="BC289" s="45" t="s">
        <v>1</v>
      </c>
      <c r="BD289" s="67"/>
    </row>
    <row r="290" spans="3:56" ht="12" customHeight="1" x14ac:dyDescent="0.2">
      <c r="C290" s="61"/>
      <c r="D290" s="45" t="s">
        <v>2</v>
      </c>
      <c r="E290" s="45"/>
      <c r="F290" s="62"/>
      <c r="G290" s="45"/>
      <c r="H290" s="45" t="s">
        <v>2</v>
      </c>
      <c r="I290" s="45"/>
      <c r="J290" s="62"/>
      <c r="K290" s="45"/>
      <c r="L290" s="45" t="s">
        <v>2</v>
      </c>
      <c r="M290" s="45"/>
      <c r="N290" s="67"/>
      <c r="O290" s="45"/>
      <c r="P290" s="45"/>
      <c r="Q290" s="61"/>
      <c r="R290" s="45" t="s">
        <v>2</v>
      </c>
      <c r="S290" s="45"/>
      <c r="T290" s="62"/>
      <c r="U290" s="45"/>
      <c r="V290" s="45" t="s">
        <v>2</v>
      </c>
      <c r="W290" s="45"/>
      <c r="X290" s="62"/>
      <c r="Y290" s="45"/>
      <c r="Z290" s="45" t="s">
        <v>2</v>
      </c>
      <c r="AA290" s="45"/>
      <c r="AB290" s="67"/>
      <c r="AC290" s="45"/>
      <c r="AD290" s="45"/>
      <c r="AE290" s="61"/>
      <c r="AF290" s="45" t="s">
        <v>2</v>
      </c>
      <c r="AG290" s="45"/>
      <c r="AH290" s="62"/>
      <c r="AI290" s="45"/>
      <c r="AJ290" s="45" t="s">
        <v>2</v>
      </c>
      <c r="AK290" s="45"/>
      <c r="AL290" s="62"/>
      <c r="AM290" s="82"/>
      <c r="AN290" s="45" t="s">
        <v>2</v>
      </c>
      <c r="AP290" s="67"/>
      <c r="AS290" s="61"/>
      <c r="AT290" s="45" t="s">
        <v>2</v>
      </c>
      <c r="AU290" s="45"/>
      <c r="AV290" s="62"/>
      <c r="AW290" s="45"/>
      <c r="AX290" s="45" t="s">
        <v>2</v>
      </c>
      <c r="AY290" s="45"/>
      <c r="AZ290" s="62"/>
      <c r="BA290" s="82"/>
      <c r="BB290" s="45"/>
      <c r="BC290" s="45" t="s">
        <v>2</v>
      </c>
      <c r="BD290" s="67"/>
    </row>
    <row r="291" spans="3:56" ht="12" customHeight="1" thickBot="1" x14ac:dyDescent="0.25">
      <c r="C291" s="61"/>
      <c r="D291" s="45" t="s">
        <v>3</v>
      </c>
      <c r="E291" s="45"/>
      <c r="F291" s="68"/>
      <c r="G291" s="48"/>
      <c r="H291" s="48" t="s">
        <v>3</v>
      </c>
      <c r="I291" s="48"/>
      <c r="J291" s="69"/>
      <c r="K291" s="45"/>
      <c r="L291" s="45" t="s">
        <v>3</v>
      </c>
      <c r="M291" s="45"/>
      <c r="N291" s="67"/>
      <c r="O291" s="45"/>
      <c r="P291" s="45"/>
      <c r="Q291" s="61"/>
      <c r="R291" s="45" t="s">
        <v>3</v>
      </c>
      <c r="S291" s="45"/>
      <c r="T291" s="68"/>
      <c r="U291" s="48"/>
      <c r="V291" s="48" t="s">
        <v>3</v>
      </c>
      <c r="W291" s="48"/>
      <c r="X291" s="69"/>
      <c r="Y291" s="45"/>
      <c r="Z291" s="45" t="s">
        <v>3</v>
      </c>
      <c r="AA291" s="45"/>
      <c r="AB291" s="67"/>
      <c r="AC291" s="45"/>
      <c r="AD291" s="45"/>
      <c r="AE291" s="61"/>
      <c r="AF291" s="45" t="s">
        <v>3</v>
      </c>
      <c r="AG291" s="45"/>
      <c r="AH291" s="68"/>
      <c r="AI291" s="48"/>
      <c r="AJ291" s="48" t="s">
        <v>3</v>
      </c>
      <c r="AK291" s="48"/>
      <c r="AL291" s="69"/>
      <c r="AM291" s="83"/>
      <c r="AN291" s="45" t="s">
        <v>3</v>
      </c>
      <c r="AP291" s="67"/>
      <c r="AS291" s="61"/>
      <c r="AT291" s="45" t="s">
        <v>3</v>
      </c>
      <c r="AU291" s="45"/>
      <c r="AV291" s="68"/>
      <c r="AW291" s="48"/>
      <c r="AX291" s="48" t="s">
        <v>3</v>
      </c>
      <c r="AY291" s="48"/>
      <c r="AZ291" s="69"/>
      <c r="BA291" s="83"/>
      <c r="BB291" s="45"/>
      <c r="BC291" s="45" t="s">
        <v>3</v>
      </c>
      <c r="BD291" s="67"/>
    </row>
    <row r="292" spans="3:56" ht="12" customHeight="1" x14ac:dyDescent="0.2">
      <c r="C292" s="65"/>
      <c r="D292" s="46" t="s">
        <v>0</v>
      </c>
      <c r="E292" s="46"/>
      <c r="F292" s="67"/>
      <c r="G292" s="45"/>
      <c r="H292" s="40" t="s">
        <v>0</v>
      </c>
      <c r="I292" s="45"/>
      <c r="J292" s="62"/>
      <c r="K292" s="46"/>
      <c r="L292" s="46" t="s">
        <v>0</v>
      </c>
      <c r="M292" s="46"/>
      <c r="N292" s="64"/>
      <c r="O292" s="45"/>
      <c r="P292" s="45"/>
      <c r="Q292" s="65"/>
      <c r="R292" s="46" t="s">
        <v>0</v>
      </c>
      <c r="S292" s="46">
        <v>1</v>
      </c>
      <c r="T292" s="67"/>
      <c r="U292" s="45"/>
      <c r="V292" s="40" t="s">
        <v>0</v>
      </c>
      <c r="W292" s="45">
        <v>1</v>
      </c>
      <c r="X292" s="62"/>
      <c r="Y292" s="46"/>
      <c r="Z292" s="46" t="s">
        <v>0</v>
      </c>
      <c r="AA292" s="46"/>
      <c r="AB292" s="64"/>
      <c r="AC292" s="45"/>
      <c r="AD292" s="45"/>
      <c r="AE292" s="65"/>
      <c r="AF292" s="46" t="s">
        <v>0</v>
      </c>
      <c r="AG292" s="46"/>
      <c r="AH292" s="67"/>
      <c r="AI292" s="45"/>
      <c r="AJ292" s="40" t="s">
        <v>0</v>
      </c>
      <c r="AK292" s="45"/>
      <c r="AL292" s="62"/>
      <c r="AM292" s="46"/>
      <c r="AN292" s="46" t="s">
        <v>0</v>
      </c>
      <c r="AP292" s="64"/>
      <c r="AS292" s="65"/>
      <c r="AT292" s="46" t="s">
        <v>0</v>
      </c>
      <c r="AU292" s="46"/>
      <c r="AV292" s="67"/>
      <c r="AW292" s="45"/>
      <c r="AX292" s="40" t="s">
        <v>0</v>
      </c>
      <c r="AY292" s="45"/>
      <c r="AZ292" s="62"/>
      <c r="BA292" s="46"/>
      <c r="BB292" s="46"/>
      <c r="BC292" s="46" t="s">
        <v>0</v>
      </c>
      <c r="BD292" s="64"/>
    </row>
    <row r="293" spans="3:56" ht="12" customHeight="1" x14ac:dyDescent="0.2">
      <c r="C293" s="61"/>
      <c r="D293" s="45" t="s">
        <v>1</v>
      </c>
      <c r="E293" s="45"/>
      <c r="F293" s="67"/>
      <c r="G293" s="45"/>
      <c r="H293" s="38" t="s">
        <v>1</v>
      </c>
      <c r="I293" s="45"/>
      <c r="J293" s="67"/>
      <c r="K293" s="45"/>
      <c r="L293" s="45" t="s">
        <v>1</v>
      </c>
      <c r="M293" s="45">
        <v>1</v>
      </c>
      <c r="N293" s="67"/>
      <c r="O293" s="45"/>
      <c r="P293" s="45"/>
      <c r="Q293" s="61"/>
      <c r="R293" s="45" t="s">
        <v>1</v>
      </c>
      <c r="S293" s="45"/>
      <c r="T293" s="67"/>
      <c r="U293" s="45"/>
      <c r="V293" s="38" t="s">
        <v>1</v>
      </c>
      <c r="W293" s="45"/>
      <c r="X293" s="67"/>
      <c r="Y293" s="45"/>
      <c r="Z293" s="45" t="s">
        <v>1</v>
      </c>
      <c r="AA293" s="45">
        <v>1</v>
      </c>
      <c r="AB293" s="67"/>
      <c r="AC293" s="45"/>
      <c r="AD293" s="45"/>
      <c r="AE293" s="61"/>
      <c r="AF293" s="45" t="s">
        <v>1</v>
      </c>
      <c r="AG293" s="45"/>
      <c r="AH293" s="67"/>
      <c r="AI293" s="45"/>
      <c r="AJ293" s="38" t="s">
        <v>1</v>
      </c>
      <c r="AK293" s="45">
        <v>2</v>
      </c>
      <c r="AL293" s="67"/>
      <c r="AM293" s="45"/>
      <c r="AN293" s="45" t="s">
        <v>1</v>
      </c>
      <c r="AP293" s="67"/>
      <c r="AS293" s="61"/>
      <c r="AT293" s="45" t="s">
        <v>1</v>
      </c>
      <c r="AU293" s="45"/>
      <c r="AV293" s="67"/>
      <c r="AW293" s="45"/>
      <c r="AX293" s="38" t="s">
        <v>1</v>
      </c>
      <c r="AY293" s="45"/>
      <c r="AZ293" s="67"/>
      <c r="BA293" s="45"/>
      <c r="BB293" s="45"/>
      <c r="BC293" s="45" t="s">
        <v>1</v>
      </c>
      <c r="BD293" s="67"/>
    </row>
    <row r="294" spans="3:56" ht="12" customHeight="1" x14ac:dyDescent="0.2">
      <c r="C294" s="61"/>
      <c r="D294" s="45" t="s">
        <v>2</v>
      </c>
      <c r="E294" s="45"/>
      <c r="F294" s="67"/>
      <c r="G294" s="45"/>
      <c r="H294" s="38" t="s">
        <v>2</v>
      </c>
      <c r="I294" s="45"/>
      <c r="J294" s="67"/>
      <c r="K294" s="45"/>
      <c r="L294" s="45" t="s">
        <v>2</v>
      </c>
      <c r="M294" s="45"/>
      <c r="N294" s="67"/>
      <c r="O294" s="45"/>
      <c r="P294" s="45"/>
      <c r="Q294" s="61"/>
      <c r="R294" s="45" t="s">
        <v>2</v>
      </c>
      <c r="S294" s="45"/>
      <c r="T294" s="67"/>
      <c r="U294" s="45"/>
      <c r="V294" s="38" t="s">
        <v>2</v>
      </c>
      <c r="W294" s="45"/>
      <c r="X294" s="67"/>
      <c r="Y294" s="45"/>
      <c r="Z294" s="45" t="s">
        <v>2</v>
      </c>
      <c r="AA294" s="45"/>
      <c r="AB294" s="67"/>
      <c r="AC294" s="45"/>
      <c r="AD294" s="45"/>
      <c r="AE294" s="61"/>
      <c r="AF294" s="45" t="s">
        <v>2</v>
      </c>
      <c r="AG294" s="45"/>
      <c r="AH294" s="67"/>
      <c r="AI294" s="45"/>
      <c r="AJ294" s="38" t="s">
        <v>2</v>
      </c>
      <c r="AK294" s="45"/>
      <c r="AL294" s="67"/>
      <c r="AM294" s="45"/>
      <c r="AN294" s="45" t="s">
        <v>2</v>
      </c>
      <c r="AP294" s="67"/>
      <c r="AS294" s="61"/>
      <c r="AT294" s="45" t="s">
        <v>2</v>
      </c>
      <c r="AU294" s="45"/>
      <c r="AV294" s="67"/>
      <c r="AW294" s="45"/>
      <c r="AX294" s="38" t="s">
        <v>2</v>
      </c>
      <c r="AY294" s="45"/>
      <c r="AZ294" s="67"/>
      <c r="BA294" s="45"/>
      <c r="BB294" s="45"/>
      <c r="BC294" s="45" t="s">
        <v>2</v>
      </c>
      <c r="BD294" s="67"/>
    </row>
    <row r="295" spans="3:56" ht="12" customHeight="1" x14ac:dyDescent="0.2">
      <c r="C295" s="70"/>
      <c r="D295" s="49" t="s">
        <v>3</v>
      </c>
      <c r="E295" s="49"/>
      <c r="F295" s="71"/>
      <c r="G295" s="49"/>
      <c r="H295" s="39" t="s">
        <v>3</v>
      </c>
      <c r="I295" s="49"/>
      <c r="J295" s="71"/>
      <c r="K295" s="49"/>
      <c r="L295" s="49" t="s">
        <v>3</v>
      </c>
      <c r="M295" s="49"/>
      <c r="N295" s="71"/>
      <c r="O295" s="45"/>
      <c r="P295" s="45"/>
      <c r="Q295" s="70"/>
      <c r="R295" s="49" t="s">
        <v>3</v>
      </c>
      <c r="S295" s="49"/>
      <c r="T295" s="71"/>
      <c r="U295" s="49"/>
      <c r="V295" s="39" t="s">
        <v>3</v>
      </c>
      <c r="W295" s="49">
        <v>1</v>
      </c>
      <c r="X295" s="71"/>
      <c r="Y295" s="49"/>
      <c r="Z295" s="49" t="s">
        <v>3</v>
      </c>
      <c r="AA295" s="49"/>
      <c r="AB295" s="71"/>
      <c r="AC295" s="45"/>
      <c r="AD295" s="45"/>
      <c r="AE295" s="70"/>
      <c r="AF295" s="49" t="s">
        <v>3</v>
      </c>
      <c r="AG295" s="49"/>
      <c r="AH295" s="71"/>
      <c r="AI295" s="49"/>
      <c r="AJ295" s="39" t="s">
        <v>3</v>
      </c>
      <c r="AK295" s="49"/>
      <c r="AL295" s="71"/>
      <c r="AM295" s="49"/>
      <c r="AN295" s="49" t="s">
        <v>3</v>
      </c>
      <c r="AP295" s="71"/>
      <c r="AS295" s="70"/>
      <c r="AT295" s="49" t="s">
        <v>3</v>
      </c>
      <c r="AU295" s="49"/>
      <c r="AV295" s="71"/>
      <c r="AW295" s="49"/>
      <c r="AX295" s="39" t="s">
        <v>3</v>
      </c>
      <c r="AY295" s="49"/>
      <c r="AZ295" s="71"/>
      <c r="BA295" s="49"/>
      <c r="BB295" s="49"/>
      <c r="BC295" s="49" t="s">
        <v>3</v>
      </c>
      <c r="BD295" s="71"/>
    </row>
    <row r="296" spans="3:56" ht="12" customHeight="1" x14ac:dyDescent="0.2">
      <c r="C296" s="61"/>
      <c r="D296" s="45" t="s">
        <v>0</v>
      </c>
      <c r="E296" s="67"/>
      <c r="F296" s="45" t="s">
        <v>0</v>
      </c>
      <c r="G296" s="45"/>
      <c r="H296" s="67"/>
      <c r="I296" s="45" t="s">
        <v>0</v>
      </c>
      <c r="J296" s="45"/>
      <c r="K296" s="67"/>
      <c r="L296" s="45" t="s">
        <v>0</v>
      </c>
      <c r="M296" s="45"/>
      <c r="N296" s="67"/>
      <c r="O296" s="45"/>
      <c r="P296" s="45"/>
      <c r="Q296" s="61"/>
      <c r="R296" s="45" t="s">
        <v>0</v>
      </c>
      <c r="S296" s="67"/>
      <c r="T296" s="45" t="s">
        <v>0</v>
      </c>
      <c r="U296" s="45"/>
      <c r="V296" s="67"/>
      <c r="W296" s="45" t="s">
        <v>0</v>
      </c>
      <c r="X296" s="45"/>
      <c r="Y296" s="67"/>
      <c r="Z296" s="45" t="s">
        <v>0</v>
      </c>
      <c r="AA296" s="45"/>
      <c r="AB296" s="67"/>
      <c r="AC296" s="45"/>
      <c r="AD296" s="45"/>
      <c r="AE296" s="61"/>
      <c r="AF296" s="45" t="s">
        <v>0</v>
      </c>
      <c r="AG296" s="67"/>
      <c r="AH296" s="45" t="s">
        <v>0</v>
      </c>
      <c r="AI296" s="45"/>
      <c r="AJ296" s="67"/>
      <c r="AK296" s="45" t="s">
        <v>0</v>
      </c>
      <c r="AL296" s="45"/>
      <c r="AM296" s="67"/>
      <c r="AN296" s="45" t="s">
        <v>0</v>
      </c>
      <c r="AP296" s="67"/>
      <c r="AS296" s="61"/>
      <c r="AT296" s="45" t="s">
        <v>0</v>
      </c>
      <c r="AU296" s="67"/>
      <c r="AV296" s="45" t="s">
        <v>0</v>
      </c>
      <c r="AW296" s="45"/>
      <c r="AX296" s="67"/>
      <c r="AY296" s="45" t="s">
        <v>0</v>
      </c>
      <c r="AZ296" s="45"/>
      <c r="BA296" s="67"/>
      <c r="BB296" s="61"/>
      <c r="BC296" s="45" t="s">
        <v>0</v>
      </c>
      <c r="BD296" s="67"/>
    </row>
    <row r="297" spans="3:56" ht="12" customHeight="1" x14ac:dyDescent="0.2">
      <c r="C297" s="61"/>
      <c r="D297" s="45" t="s">
        <v>1</v>
      </c>
      <c r="E297" s="67"/>
      <c r="F297" s="45" t="s">
        <v>1</v>
      </c>
      <c r="G297" s="45"/>
      <c r="H297" s="67"/>
      <c r="I297" s="45" t="s">
        <v>1</v>
      </c>
      <c r="J297" s="45"/>
      <c r="K297" s="67"/>
      <c r="L297" s="45" t="s">
        <v>1</v>
      </c>
      <c r="M297" s="45"/>
      <c r="N297" s="67"/>
      <c r="O297" s="45"/>
      <c r="P297" s="45"/>
      <c r="Q297" s="61"/>
      <c r="R297" s="45" t="s">
        <v>1</v>
      </c>
      <c r="S297" s="67"/>
      <c r="T297" s="45" t="s">
        <v>1</v>
      </c>
      <c r="U297" s="45"/>
      <c r="V297" s="67"/>
      <c r="W297" s="45" t="s">
        <v>1</v>
      </c>
      <c r="X297" s="45"/>
      <c r="Y297" s="67"/>
      <c r="Z297" s="45" t="s">
        <v>1</v>
      </c>
      <c r="AA297" s="45"/>
      <c r="AB297" s="67"/>
      <c r="AC297" s="45"/>
      <c r="AD297" s="45"/>
      <c r="AE297" s="61"/>
      <c r="AF297" s="45" t="s">
        <v>1</v>
      </c>
      <c r="AG297" s="67"/>
      <c r="AH297" s="45" t="s">
        <v>1</v>
      </c>
      <c r="AI297" s="45"/>
      <c r="AJ297" s="67"/>
      <c r="AK297" s="45" t="s">
        <v>1</v>
      </c>
      <c r="AL297" s="45"/>
      <c r="AM297" s="67"/>
      <c r="AN297" s="45" t="s">
        <v>1</v>
      </c>
      <c r="AP297" s="67"/>
      <c r="AS297" s="61"/>
      <c r="AT297" s="45" t="s">
        <v>1</v>
      </c>
      <c r="AU297" s="67"/>
      <c r="AV297" s="45" t="s">
        <v>1</v>
      </c>
      <c r="AW297" s="45"/>
      <c r="AX297" s="67"/>
      <c r="AY297" s="45" t="s">
        <v>1</v>
      </c>
      <c r="AZ297" s="45"/>
      <c r="BA297" s="67"/>
      <c r="BB297" s="61"/>
      <c r="BC297" s="45" t="s">
        <v>1</v>
      </c>
      <c r="BD297" s="67"/>
    </row>
    <row r="298" spans="3:56" ht="12" customHeight="1" x14ac:dyDescent="0.2">
      <c r="C298" s="61"/>
      <c r="D298" s="45" t="s">
        <v>2</v>
      </c>
      <c r="E298" s="67">
        <v>1</v>
      </c>
      <c r="F298" s="45" t="s">
        <v>2</v>
      </c>
      <c r="G298" s="45"/>
      <c r="H298" s="67"/>
      <c r="I298" s="45" t="s">
        <v>2</v>
      </c>
      <c r="J298" s="45"/>
      <c r="K298" s="67"/>
      <c r="L298" s="45" t="s">
        <v>2</v>
      </c>
      <c r="M298" s="45"/>
      <c r="N298" s="67"/>
      <c r="O298" s="45"/>
      <c r="P298" s="45"/>
      <c r="Q298" s="61"/>
      <c r="R298" s="45" t="s">
        <v>2</v>
      </c>
      <c r="S298" s="67"/>
      <c r="T298" s="45" t="s">
        <v>2</v>
      </c>
      <c r="U298" s="45"/>
      <c r="V298" s="67"/>
      <c r="W298" s="45" t="s">
        <v>2</v>
      </c>
      <c r="X298" s="45"/>
      <c r="Y298" s="67"/>
      <c r="Z298" s="45" t="s">
        <v>2</v>
      </c>
      <c r="AA298" s="45"/>
      <c r="AB298" s="67"/>
      <c r="AC298" s="45"/>
      <c r="AD298" s="45"/>
      <c r="AE298" s="61"/>
      <c r="AF298" s="45" t="s">
        <v>2</v>
      </c>
      <c r="AG298" s="67"/>
      <c r="AH298" s="45" t="s">
        <v>2</v>
      </c>
      <c r="AI298" s="45"/>
      <c r="AJ298" s="67"/>
      <c r="AK298" s="45" t="s">
        <v>2</v>
      </c>
      <c r="AL298" s="45"/>
      <c r="AM298" s="67"/>
      <c r="AN298" s="45" t="s">
        <v>2</v>
      </c>
      <c r="AP298" s="67"/>
      <c r="AS298" s="61"/>
      <c r="AT298" s="45" t="s">
        <v>2</v>
      </c>
      <c r="AU298" s="67"/>
      <c r="AV298" s="45" t="s">
        <v>2</v>
      </c>
      <c r="AW298" s="45"/>
      <c r="AX298" s="67"/>
      <c r="AY298" s="45" t="s">
        <v>2</v>
      </c>
      <c r="AZ298" s="45"/>
      <c r="BA298" s="67"/>
      <c r="BB298" s="61"/>
      <c r="BC298" s="45" t="s">
        <v>2</v>
      </c>
      <c r="BD298" s="67"/>
    </row>
    <row r="299" spans="3:56" ht="12" customHeight="1" x14ac:dyDescent="0.2">
      <c r="C299" s="70"/>
      <c r="D299" s="49" t="s">
        <v>3</v>
      </c>
      <c r="E299" s="71"/>
      <c r="F299" s="49" t="s">
        <v>3</v>
      </c>
      <c r="G299" s="49"/>
      <c r="H299" s="71"/>
      <c r="I299" s="49" t="s">
        <v>3</v>
      </c>
      <c r="J299" s="49"/>
      <c r="K299" s="71"/>
      <c r="L299" s="49" t="s">
        <v>3</v>
      </c>
      <c r="M299" s="49"/>
      <c r="N299" s="71"/>
      <c r="O299" s="45"/>
      <c r="P299" s="45"/>
      <c r="Q299" s="70"/>
      <c r="R299" s="49" t="s">
        <v>3</v>
      </c>
      <c r="S299" s="71"/>
      <c r="T299" s="49" t="s">
        <v>3</v>
      </c>
      <c r="U299" s="49"/>
      <c r="V299" s="71"/>
      <c r="W299" s="49" t="s">
        <v>3</v>
      </c>
      <c r="X299" s="49"/>
      <c r="Y299" s="71"/>
      <c r="Z299" s="49" t="s">
        <v>3</v>
      </c>
      <c r="AA299" s="49"/>
      <c r="AB299" s="71"/>
      <c r="AC299" s="45"/>
      <c r="AD299" s="45"/>
      <c r="AE299" s="70"/>
      <c r="AF299" s="49" t="s">
        <v>3</v>
      </c>
      <c r="AG299" s="71"/>
      <c r="AH299" s="49" t="s">
        <v>3</v>
      </c>
      <c r="AI299" s="49"/>
      <c r="AJ299" s="71"/>
      <c r="AK299" s="49" t="s">
        <v>3</v>
      </c>
      <c r="AL299" s="49"/>
      <c r="AM299" s="71"/>
      <c r="AN299" s="49" t="s">
        <v>3</v>
      </c>
      <c r="AP299" s="71"/>
      <c r="AS299" s="70"/>
      <c r="AT299" s="49" t="s">
        <v>3</v>
      </c>
      <c r="AU299" s="71"/>
      <c r="AV299" s="49" t="s">
        <v>3</v>
      </c>
      <c r="AW299" s="49"/>
      <c r="AX299" s="71"/>
      <c r="AY299" s="49" t="s">
        <v>3</v>
      </c>
      <c r="AZ299" s="49"/>
      <c r="BA299" s="71"/>
      <c r="BB299" s="70"/>
      <c r="BC299" s="49" t="s">
        <v>3</v>
      </c>
      <c r="BD299" s="71"/>
    </row>
    <row r="300" spans="3:56" ht="12" customHeight="1" x14ac:dyDescent="0.2"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38"/>
      <c r="Z300" s="38"/>
      <c r="AA300" s="38"/>
      <c r="AB300" s="38"/>
      <c r="AC300" s="38"/>
      <c r="AD300" s="38"/>
      <c r="AE300" s="38"/>
      <c r="AF300" s="38"/>
      <c r="AG300" s="38"/>
      <c r="AH300" s="38"/>
      <c r="AI300" s="38"/>
      <c r="AJ300" s="38"/>
      <c r="AK300" s="38"/>
      <c r="AL300" s="38"/>
      <c r="AM300" s="38"/>
      <c r="AN300" s="38"/>
      <c r="AP300" s="38"/>
      <c r="AS300" s="38"/>
      <c r="AT300" s="38"/>
      <c r="AU300" s="38"/>
      <c r="AV300" s="38"/>
      <c r="AW300" s="38"/>
      <c r="AX300" s="38"/>
      <c r="AY300" s="38"/>
      <c r="AZ300" s="38"/>
      <c r="BA300" s="38"/>
      <c r="BB300" s="38"/>
      <c r="BC300" s="38"/>
      <c r="BD300" s="38"/>
    </row>
    <row r="301" spans="3:56" ht="12" customHeight="1" x14ac:dyDescent="0.2">
      <c r="C301" s="132" t="s">
        <v>135</v>
      </c>
      <c r="D301" s="132"/>
      <c r="E301" s="132"/>
      <c r="F301" s="132"/>
      <c r="G301" s="132"/>
      <c r="H301" s="43"/>
      <c r="I301" s="43"/>
      <c r="J301" s="43"/>
      <c r="K301" s="43"/>
      <c r="L301" s="43"/>
      <c r="M301" s="43"/>
      <c r="N301" s="43"/>
      <c r="O301" s="44"/>
      <c r="P301" s="44"/>
      <c r="Q301" s="44"/>
      <c r="R301" s="44"/>
      <c r="S301" s="44"/>
      <c r="T301" s="44"/>
      <c r="U301" s="44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44"/>
      <c r="AJ301" s="44"/>
      <c r="AK301" s="44"/>
      <c r="AL301" s="44"/>
      <c r="AM301" s="44"/>
      <c r="AN301" s="44"/>
      <c r="AP301" s="44"/>
      <c r="AS301" s="44"/>
      <c r="AT301" s="44"/>
      <c r="AU301" s="44"/>
      <c r="AV301" s="44"/>
      <c r="AW301" s="44"/>
      <c r="AX301" s="44"/>
      <c r="AY301" s="44"/>
      <c r="AZ301" s="44"/>
      <c r="BA301" s="44"/>
      <c r="BB301" s="44"/>
      <c r="BC301" s="44"/>
      <c r="BD301" s="44"/>
    </row>
    <row r="302" spans="3:56" ht="12" customHeight="1" x14ac:dyDescent="0.2">
      <c r="C302" s="133"/>
      <c r="D302" s="133"/>
      <c r="E302" s="133"/>
      <c r="F302" s="133"/>
      <c r="G302" s="133"/>
      <c r="H302" s="44"/>
      <c r="I302" s="44"/>
      <c r="J302" s="44"/>
      <c r="K302" s="44"/>
      <c r="L302" s="44"/>
      <c r="M302" s="44"/>
      <c r="N302" s="44"/>
      <c r="O302" s="44"/>
      <c r="P302" s="44"/>
      <c r="Q302" s="44"/>
      <c r="R302" s="44"/>
      <c r="S302" s="44"/>
      <c r="T302" s="44"/>
      <c r="U302" s="44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44"/>
      <c r="AJ302" s="44"/>
      <c r="AK302" s="44"/>
      <c r="AL302" s="44"/>
      <c r="AM302" s="44"/>
      <c r="AN302" s="44"/>
      <c r="AP302" s="44"/>
      <c r="AS302" s="44"/>
      <c r="AT302" s="44"/>
      <c r="AU302" s="44"/>
      <c r="AV302" s="44"/>
      <c r="AW302" s="44"/>
      <c r="AX302" s="44"/>
      <c r="AY302" s="44"/>
      <c r="AZ302" s="44"/>
      <c r="BA302" s="44"/>
      <c r="BB302" s="44"/>
      <c r="BC302" s="44"/>
      <c r="BD302" s="44"/>
    </row>
    <row r="303" spans="3:56" ht="12" customHeight="1" thickBot="1" x14ac:dyDescent="0.25">
      <c r="C303" s="61"/>
      <c r="D303" s="45" t="s">
        <v>0</v>
      </c>
      <c r="E303" s="45"/>
      <c r="F303" s="62"/>
      <c r="G303" s="45"/>
      <c r="H303" s="46" t="s">
        <v>0</v>
      </c>
      <c r="I303" s="46"/>
      <c r="J303" s="63"/>
      <c r="K303" s="46"/>
      <c r="L303" s="46" t="s">
        <v>0</v>
      </c>
      <c r="M303" s="46"/>
      <c r="N303" s="64"/>
      <c r="O303" s="45"/>
      <c r="P303" s="45"/>
      <c r="Q303" s="65"/>
      <c r="R303" s="46" t="s">
        <v>0</v>
      </c>
      <c r="S303" s="46"/>
      <c r="T303" s="63"/>
      <c r="U303" s="46"/>
      <c r="V303" s="46" t="s">
        <v>0</v>
      </c>
      <c r="W303" s="46"/>
      <c r="X303" s="63"/>
      <c r="Y303" s="46"/>
      <c r="Z303" s="46" t="s">
        <v>0</v>
      </c>
      <c r="AA303" s="46"/>
      <c r="AB303" s="64"/>
      <c r="AC303" s="45"/>
      <c r="AD303" s="45"/>
      <c r="AE303" s="65"/>
      <c r="AF303" s="46" t="s">
        <v>0</v>
      </c>
      <c r="AG303" s="46">
        <v>1</v>
      </c>
      <c r="AH303" s="63"/>
      <c r="AI303" s="46"/>
      <c r="AJ303" s="46" t="s">
        <v>0</v>
      </c>
      <c r="AK303" s="46"/>
      <c r="AL303" s="63"/>
      <c r="AM303" s="81"/>
      <c r="AN303" s="46" t="s">
        <v>0</v>
      </c>
      <c r="AP303" s="64"/>
      <c r="AS303" s="65"/>
      <c r="AT303" s="46" t="s">
        <v>0</v>
      </c>
      <c r="AU303" s="46"/>
      <c r="AV303" s="63"/>
      <c r="AW303" s="46"/>
      <c r="AX303" s="46" t="s">
        <v>0</v>
      </c>
      <c r="AY303" s="46"/>
      <c r="AZ303" s="63"/>
      <c r="BA303" s="81"/>
      <c r="BB303" s="46"/>
      <c r="BC303" s="46" t="s">
        <v>0</v>
      </c>
      <c r="BD303" s="64"/>
    </row>
    <row r="304" spans="3:56" ht="12" customHeight="1" x14ac:dyDescent="0.2">
      <c r="C304" s="61"/>
      <c r="D304" s="45" t="s">
        <v>1</v>
      </c>
      <c r="E304" s="45"/>
      <c r="F304" s="62"/>
      <c r="G304" s="47"/>
      <c r="H304" s="47" t="s">
        <v>1</v>
      </c>
      <c r="I304" s="47"/>
      <c r="J304" s="66"/>
      <c r="K304" s="45"/>
      <c r="L304" s="45" t="s">
        <v>1</v>
      </c>
      <c r="M304" s="45"/>
      <c r="N304" s="67"/>
      <c r="O304" s="45"/>
      <c r="P304" s="45"/>
      <c r="Q304" s="61"/>
      <c r="R304" s="45" t="s">
        <v>1</v>
      </c>
      <c r="S304" s="45"/>
      <c r="T304" s="62"/>
      <c r="U304" s="47"/>
      <c r="V304" s="47" t="s">
        <v>1</v>
      </c>
      <c r="W304" s="47"/>
      <c r="X304" s="66"/>
      <c r="Y304" s="45"/>
      <c r="Z304" s="45" t="s">
        <v>1</v>
      </c>
      <c r="AA304" s="45"/>
      <c r="AB304" s="67"/>
      <c r="AC304" s="45"/>
      <c r="AD304" s="45"/>
      <c r="AE304" s="61"/>
      <c r="AF304" s="45" t="s">
        <v>1</v>
      </c>
      <c r="AG304" s="45"/>
      <c r="AH304" s="62"/>
      <c r="AI304" s="47"/>
      <c r="AJ304" s="47" t="s">
        <v>1</v>
      </c>
      <c r="AK304" s="47"/>
      <c r="AL304" s="66"/>
      <c r="AM304" s="82"/>
      <c r="AN304" s="45" t="s">
        <v>1</v>
      </c>
      <c r="AP304" s="67"/>
      <c r="AS304" s="61"/>
      <c r="AT304" s="45" t="s">
        <v>1</v>
      </c>
      <c r="AU304" s="45"/>
      <c r="AV304" s="62"/>
      <c r="AW304" s="47"/>
      <c r="AX304" s="47" t="s">
        <v>1</v>
      </c>
      <c r="AY304" s="47"/>
      <c r="AZ304" s="66"/>
      <c r="BA304" s="82"/>
      <c r="BB304" s="45"/>
      <c r="BC304" s="45" t="s">
        <v>1</v>
      </c>
      <c r="BD304" s="67"/>
    </row>
    <row r="305" spans="3:56" ht="12" customHeight="1" x14ac:dyDescent="0.2">
      <c r="C305" s="61"/>
      <c r="D305" s="45" t="s">
        <v>2</v>
      </c>
      <c r="E305" s="45"/>
      <c r="F305" s="62"/>
      <c r="G305" s="45"/>
      <c r="H305" s="45" t="s">
        <v>2</v>
      </c>
      <c r="I305" s="45"/>
      <c r="J305" s="62"/>
      <c r="K305" s="45"/>
      <c r="L305" s="45" t="s">
        <v>2</v>
      </c>
      <c r="M305" s="45"/>
      <c r="N305" s="67"/>
      <c r="O305" s="45"/>
      <c r="P305" s="45"/>
      <c r="Q305" s="61"/>
      <c r="R305" s="45" t="s">
        <v>2</v>
      </c>
      <c r="S305" s="45"/>
      <c r="T305" s="62"/>
      <c r="U305" s="45"/>
      <c r="V305" s="45" t="s">
        <v>2</v>
      </c>
      <c r="W305" s="45"/>
      <c r="X305" s="62"/>
      <c r="Y305" s="45"/>
      <c r="Z305" s="45" t="s">
        <v>2</v>
      </c>
      <c r="AA305" s="45"/>
      <c r="AB305" s="67"/>
      <c r="AC305" s="45"/>
      <c r="AD305" s="45"/>
      <c r="AE305" s="61"/>
      <c r="AF305" s="45" t="s">
        <v>2</v>
      </c>
      <c r="AG305" s="45"/>
      <c r="AH305" s="62"/>
      <c r="AI305" s="45"/>
      <c r="AJ305" s="45" t="s">
        <v>2</v>
      </c>
      <c r="AK305" s="45"/>
      <c r="AL305" s="62"/>
      <c r="AM305" s="82"/>
      <c r="AN305" s="45" t="s">
        <v>2</v>
      </c>
      <c r="AP305" s="67"/>
      <c r="AS305" s="61"/>
      <c r="AT305" s="45" t="s">
        <v>2</v>
      </c>
      <c r="AU305" s="45"/>
      <c r="AV305" s="62"/>
      <c r="AW305" s="45"/>
      <c r="AX305" s="45" t="s">
        <v>2</v>
      </c>
      <c r="AY305" s="45"/>
      <c r="AZ305" s="62"/>
      <c r="BA305" s="82"/>
      <c r="BB305" s="45"/>
      <c r="BC305" s="45" t="s">
        <v>2</v>
      </c>
      <c r="BD305" s="67"/>
    </row>
    <row r="306" spans="3:56" ht="12" customHeight="1" thickBot="1" x14ac:dyDescent="0.25">
      <c r="C306" s="61"/>
      <c r="D306" s="45" t="s">
        <v>3</v>
      </c>
      <c r="E306" s="45"/>
      <c r="F306" s="68"/>
      <c r="G306" s="48"/>
      <c r="H306" s="48" t="s">
        <v>3</v>
      </c>
      <c r="I306" s="48"/>
      <c r="J306" s="69"/>
      <c r="K306" s="45"/>
      <c r="L306" s="45" t="s">
        <v>3</v>
      </c>
      <c r="M306" s="45"/>
      <c r="N306" s="67"/>
      <c r="O306" s="45"/>
      <c r="P306" s="45"/>
      <c r="Q306" s="61"/>
      <c r="R306" s="45" t="s">
        <v>3</v>
      </c>
      <c r="S306" s="45"/>
      <c r="T306" s="68"/>
      <c r="U306" s="48"/>
      <c r="V306" s="48" t="s">
        <v>3</v>
      </c>
      <c r="W306" s="48"/>
      <c r="X306" s="69"/>
      <c r="Y306" s="45"/>
      <c r="Z306" s="45" t="s">
        <v>3</v>
      </c>
      <c r="AA306" s="45"/>
      <c r="AB306" s="67"/>
      <c r="AC306" s="45"/>
      <c r="AD306" s="45"/>
      <c r="AE306" s="61"/>
      <c r="AF306" s="45" t="s">
        <v>3</v>
      </c>
      <c r="AG306" s="45"/>
      <c r="AH306" s="68"/>
      <c r="AI306" s="48"/>
      <c r="AJ306" s="48" t="s">
        <v>3</v>
      </c>
      <c r="AK306" s="48"/>
      <c r="AL306" s="69"/>
      <c r="AM306" s="83"/>
      <c r="AN306" s="45" t="s">
        <v>3</v>
      </c>
      <c r="AP306" s="67"/>
      <c r="AS306" s="61"/>
      <c r="AT306" s="45" t="s">
        <v>3</v>
      </c>
      <c r="AU306" s="45"/>
      <c r="AV306" s="68"/>
      <c r="AW306" s="48"/>
      <c r="AX306" s="48" t="s">
        <v>3</v>
      </c>
      <c r="AY306" s="48"/>
      <c r="AZ306" s="69"/>
      <c r="BA306" s="83"/>
      <c r="BB306" s="45"/>
      <c r="BC306" s="45" t="s">
        <v>3</v>
      </c>
      <c r="BD306" s="67"/>
    </row>
    <row r="307" spans="3:56" ht="12" customHeight="1" x14ac:dyDescent="0.2">
      <c r="C307" s="65"/>
      <c r="D307" s="46" t="s">
        <v>0</v>
      </c>
      <c r="E307" s="46"/>
      <c r="F307" s="67"/>
      <c r="G307" s="45"/>
      <c r="H307" s="40" t="s">
        <v>0</v>
      </c>
      <c r="I307" s="45">
        <v>1</v>
      </c>
      <c r="J307" s="62"/>
      <c r="K307" s="46"/>
      <c r="L307" s="46" t="s">
        <v>0</v>
      </c>
      <c r="M307" s="46"/>
      <c r="N307" s="64"/>
      <c r="O307" s="45"/>
      <c r="P307" s="45"/>
      <c r="Q307" s="65"/>
      <c r="R307" s="46" t="s">
        <v>0</v>
      </c>
      <c r="S307" s="46"/>
      <c r="T307" s="67"/>
      <c r="U307" s="45"/>
      <c r="V307" s="40" t="s">
        <v>0</v>
      </c>
      <c r="W307" s="45"/>
      <c r="X307" s="62"/>
      <c r="Y307" s="46"/>
      <c r="Z307" s="46" t="s">
        <v>0</v>
      </c>
      <c r="AA307" s="46"/>
      <c r="AB307" s="64"/>
      <c r="AC307" s="45"/>
      <c r="AD307" s="45"/>
      <c r="AE307" s="65"/>
      <c r="AF307" s="46" t="s">
        <v>0</v>
      </c>
      <c r="AG307" s="46"/>
      <c r="AH307" s="67"/>
      <c r="AI307" s="45"/>
      <c r="AJ307" s="40" t="s">
        <v>0</v>
      </c>
      <c r="AK307" s="45"/>
      <c r="AL307" s="62"/>
      <c r="AM307" s="46"/>
      <c r="AN307" s="46" t="s">
        <v>0</v>
      </c>
      <c r="AP307" s="64"/>
      <c r="AS307" s="65"/>
      <c r="AT307" s="46" t="s">
        <v>0</v>
      </c>
      <c r="AU307" s="46"/>
      <c r="AV307" s="67"/>
      <c r="AW307" s="45"/>
      <c r="AX307" s="40" t="s">
        <v>0</v>
      </c>
      <c r="AY307" s="45"/>
      <c r="AZ307" s="62"/>
      <c r="BA307" s="46"/>
      <c r="BB307" s="46"/>
      <c r="BC307" s="46" t="s">
        <v>0</v>
      </c>
      <c r="BD307" s="64"/>
    </row>
    <row r="308" spans="3:56" ht="12" customHeight="1" x14ac:dyDescent="0.2">
      <c r="C308" s="61"/>
      <c r="D308" s="45" t="s">
        <v>1</v>
      </c>
      <c r="E308" s="45"/>
      <c r="F308" s="67"/>
      <c r="G308" s="45"/>
      <c r="H308" s="38" t="s">
        <v>1</v>
      </c>
      <c r="I308" s="45"/>
      <c r="J308" s="67"/>
      <c r="K308" s="45"/>
      <c r="L308" s="45" t="s">
        <v>1</v>
      </c>
      <c r="M308" s="45"/>
      <c r="N308" s="67"/>
      <c r="O308" s="45"/>
      <c r="P308" s="45"/>
      <c r="Q308" s="61"/>
      <c r="R308" s="45" t="s">
        <v>1</v>
      </c>
      <c r="S308" s="45">
        <v>2</v>
      </c>
      <c r="T308" s="67"/>
      <c r="U308" s="45"/>
      <c r="V308" s="38" t="s">
        <v>1</v>
      </c>
      <c r="W308" s="45"/>
      <c r="X308" s="67"/>
      <c r="Y308" s="45"/>
      <c r="Z308" s="45" t="s">
        <v>1</v>
      </c>
      <c r="AA308" s="45"/>
      <c r="AB308" s="67"/>
      <c r="AC308" s="45"/>
      <c r="AD308" s="45"/>
      <c r="AE308" s="61"/>
      <c r="AF308" s="45" t="s">
        <v>1</v>
      </c>
      <c r="AG308" s="45"/>
      <c r="AH308" s="67"/>
      <c r="AI308" s="45"/>
      <c r="AJ308" s="38" t="s">
        <v>1</v>
      </c>
      <c r="AK308" s="45"/>
      <c r="AL308" s="67"/>
      <c r="AM308" s="45"/>
      <c r="AN308" s="45" t="s">
        <v>1</v>
      </c>
      <c r="AP308" s="67"/>
      <c r="AS308" s="61"/>
      <c r="AT308" s="45" t="s">
        <v>1</v>
      </c>
      <c r="AU308" s="45"/>
      <c r="AV308" s="67"/>
      <c r="AW308" s="45"/>
      <c r="AX308" s="38" t="s">
        <v>1</v>
      </c>
      <c r="AY308" s="45"/>
      <c r="AZ308" s="67"/>
      <c r="BA308" s="45"/>
      <c r="BB308" s="45"/>
      <c r="BC308" s="45" t="s">
        <v>1</v>
      </c>
      <c r="BD308" s="67"/>
    </row>
    <row r="309" spans="3:56" ht="12" customHeight="1" x14ac:dyDescent="0.2">
      <c r="C309" s="61"/>
      <c r="D309" s="45" t="s">
        <v>2</v>
      </c>
      <c r="E309" s="45"/>
      <c r="F309" s="67"/>
      <c r="G309" s="45"/>
      <c r="H309" s="38" t="s">
        <v>2</v>
      </c>
      <c r="I309" s="45"/>
      <c r="J309" s="67"/>
      <c r="K309" s="45"/>
      <c r="L309" s="45" t="s">
        <v>2</v>
      </c>
      <c r="M309" s="45"/>
      <c r="N309" s="67"/>
      <c r="O309" s="45"/>
      <c r="P309" s="45"/>
      <c r="Q309" s="61"/>
      <c r="R309" s="45" t="s">
        <v>2</v>
      </c>
      <c r="S309" s="45"/>
      <c r="T309" s="67"/>
      <c r="U309" s="45"/>
      <c r="V309" s="38" t="s">
        <v>2</v>
      </c>
      <c r="W309" s="45">
        <v>1</v>
      </c>
      <c r="X309" s="67"/>
      <c r="Y309" s="45"/>
      <c r="Z309" s="45" t="s">
        <v>2</v>
      </c>
      <c r="AA309" s="45"/>
      <c r="AB309" s="67"/>
      <c r="AC309" s="45"/>
      <c r="AD309" s="45"/>
      <c r="AE309" s="61"/>
      <c r="AF309" s="45" t="s">
        <v>2</v>
      </c>
      <c r="AG309" s="45"/>
      <c r="AH309" s="67"/>
      <c r="AI309" s="45"/>
      <c r="AJ309" s="38" t="s">
        <v>2</v>
      </c>
      <c r="AK309" s="45"/>
      <c r="AL309" s="67"/>
      <c r="AM309" s="45"/>
      <c r="AN309" s="45" t="s">
        <v>2</v>
      </c>
      <c r="AP309" s="67"/>
      <c r="AS309" s="61"/>
      <c r="AT309" s="45" t="s">
        <v>2</v>
      </c>
      <c r="AU309" s="45"/>
      <c r="AV309" s="67"/>
      <c r="AW309" s="45"/>
      <c r="AX309" s="38" t="s">
        <v>2</v>
      </c>
      <c r="AY309" s="45"/>
      <c r="AZ309" s="67"/>
      <c r="BA309" s="45"/>
      <c r="BB309" s="45"/>
      <c r="BC309" s="45" t="s">
        <v>2</v>
      </c>
      <c r="BD309" s="67"/>
    </row>
    <row r="310" spans="3:56" ht="12" customHeight="1" x14ac:dyDescent="0.2">
      <c r="C310" s="70"/>
      <c r="D310" s="49" t="s">
        <v>3</v>
      </c>
      <c r="E310" s="49"/>
      <c r="F310" s="71"/>
      <c r="G310" s="49"/>
      <c r="H310" s="39" t="s">
        <v>3</v>
      </c>
      <c r="I310" s="49">
        <v>1</v>
      </c>
      <c r="J310" s="71"/>
      <c r="K310" s="49"/>
      <c r="L310" s="49" t="s">
        <v>3</v>
      </c>
      <c r="M310" s="49"/>
      <c r="N310" s="71"/>
      <c r="O310" s="45"/>
      <c r="P310" s="45"/>
      <c r="Q310" s="70"/>
      <c r="R310" s="49" t="s">
        <v>3</v>
      </c>
      <c r="S310" s="49"/>
      <c r="T310" s="71"/>
      <c r="U310" s="49"/>
      <c r="V310" s="39" t="s">
        <v>3</v>
      </c>
      <c r="W310" s="49"/>
      <c r="X310" s="71"/>
      <c r="Y310" s="49"/>
      <c r="Z310" s="49" t="s">
        <v>3</v>
      </c>
      <c r="AA310" s="49"/>
      <c r="AB310" s="71"/>
      <c r="AC310" s="45"/>
      <c r="AD310" s="45"/>
      <c r="AE310" s="70"/>
      <c r="AF310" s="49" t="s">
        <v>3</v>
      </c>
      <c r="AG310" s="49"/>
      <c r="AH310" s="71"/>
      <c r="AI310" s="49"/>
      <c r="AJ310" s="39" t="s">
        <v>3</v>
      </c>
      <c r="AK310" s="49"/>
      <c r="AL310" s="71"/>
      <c r="AM310" s="49"/>
      <c r="AN310" s="49" t="s">
        <v>3</v>
      </c>
      <c r="AP310" s="71"/>
      <c r="AS310" s="70"/>
      <c r="AT310" s="49" t="s">
        <v>3</v>
      </c>
      <c r="AU310" s="49"/>
      <c r="AV310" s="71"/>
      <c r="AW310" s="49"/>
      <c r="AX310" s="39" t="s">
        <v>3</v>
      </c>
      <c r="AY310" s="49"/>
      <c r="AZ310" s="71"/>
      <c r="BA310" s="49"/>
      <c r="BB310" s="49"/>
      <c r="BC310" s="49" t="s">
        <v>3</v>
      </c>
      <c r="BD310" s="71"/>
    </row>
    <row r="311" spans="3:56" ht="12" customHeight="1" x14ac:dyDescent="0.2">
      <c r="C311" s="61"/>
      <c r="D311" s="45" t="s">
        <v>0</v>
      </c>
      <c r="E311" s="67"/>
      <c r="F311" s="45" t="s">
        <v>0</v>
      </c>
      <c r="G311" s="45"/>
      <c r="H311" s="67"/>
      <c r="I311" s="45" t="s">
        <v>0</v>
      </c>
      <c r="J311" s="45"/>
      <c r="K311" s="67"/>
      <c r="L311" s="45" t="s">
        <v>0</v>
      </c>
      <c r="M311" s="45"/>
      <c r="N311" s="67"/>
      <c r="O311" s="45"/>
      <c r="P311" s="45"/>
      <c r="Q311" s="61"/>
      <c r="R311" s="45" t="s">
        <v>0</v>
      </c>
      <c r="S311" s="67"/>
      <c r="T311" s="45" t="s">
        <v>0</v>
      </c>
      <c r="U311" s="45"/>
      <c r="V311" s="67"/>
      <c r="W311" s="45" t="s">
        <v>0</v>
      </c>
      <c r="X311" s="45"/>
      <c r="Y311" s="67"/>
      <c r="Z311" s="45" t="s">
        <v>0</v>
      </c>
      <c r="AA311" s="45"/>
      <c r="AB311" s="67"/>
      <c r="AC311" s="45"/>
      <c r="AD311" s="45"/>
      <c r="AE311" s="61"/>
      <c r="AF311" s="45" t="s">
        <v>0</v>
      </c>
      <c r="AG311" s="67"/>
      <c r="AH311" s="45" t="s">
        <v>0</v>
      </c>
      <c r="AI311" s="45"/>
      <c r="AJ311" s="67"/>
      <c r="AK311" s="45" t="s">
        <v>0</v>
      </c>
      <c r="AL311" s="45"/>
      <c r="AM311" s="67"/>
      <c r="AN311" s="45" t="s">
        <v>0</v>
      </c>
      <c r="AP311" s="67"/>
      <c r="AS311" s="61"/>
      <c r="AT311" s="45" t="s">
        <v>0</v>
      </c>
      <c r="AU311" s="67"/>
      <c r="AV311" s="45" t="s">
        <v>0</v>
      </c>
      <c r="AW311" s="45"/>
      <c r="AX311" s="67"/>
      <c r="AY311" s="45" t="s">
        <v>0</v>
      </c>
      <c r="AZ311" s="45"/>
      <c r="BA311" s="67"/>
      <c r="BB311" s="61"/>
      <c r="BC311" s="45" t="s">
        <v>0</v>
      </c>
      <c r="BD311" s="67"/>
    </row>
    <row r="312" spans="3:56" ht="12" customHeight="1" x14ac:dyDescent="0.2">
      <c r="C312" s="61"/>
      <c r="D312" s="45" t="s">
        <v>1</v>
      </c>
      <c r="E312" s="67"/>
      <c r="F312" s="45" t="s">
        <v>1</v>
      </c>
      <c r="G312" s="45"/>
      <c r="H312" s="67"/>
      <c r="I312" s="45" t="s">
        <v>1</v>
      </c>
      <c r="J312" s="45">
        <v>1</v>
      </c>
      <c r="K312" s="67"/>
      <c r="L312" s="45" t="s">
        <v>1</v>
      </c>
      <c r="M312" s="45"/>
      <c r="N312" s="67"/>
      <c r="O312" s="45"/>
      <c r="P312" s="45"/>
      <c r="Q312" s="61"/>
      <c r="R312" s="45" t="s">
        <v>1</v>
      </c>
      <c r="S312" s="67"/>
      <c r="T312" s="45" t="s">
        <v>1</v>
      </c>
      <c r="U312" s="45"/>
      <c r="V312" s="67"/>
      <c r="W312" s="45" t="s">
        <v>1</v>
      </c>
      <c r="X312" s="45"/>
      <c r="Y312" s="67"/>
      <c r="Z312" s="45" t="s">
        <v>1</v>
      </c>
      <c r="AA312" s="45"/>
      <c r="AB312" s="67"/>
      <c r="AC312" s="45"/>
      <c r="AD312" s="45"/>
      <c r="AE312" s="61"/>
      <c r="AF312" s="45" t="s">
        <v>1</v>
      </c>
      <c r="AG312" s="67"/>
      <c r="AH312" s="45" t="s">
        <v>1</v>
      </c>
      <c r="AI312" s="45"/>
      <c r="AJ312" s="67"/>
      <c r="AK312" s="45" t="s">
        <v>1</v>
      </c>
      <c r="AL312" s="45"/>
      <c r="AM312" s="67"/>
      <c r="AN312" s="45" t="s">
        <v>1</v>
      </c>
      <c r="AP312" s="67"/>
      <c r="AS312" s="61"/>
      <c r="AT312" s="45" t="s">
        <v>1</v>
      </c>
      <c r="AU312" s="67"/>
      <c r="AV312" s="45" t="s">
        <v>1</v>
      </c>
      <c r="AW312" s="45"/>
      <c r="AX312" s="67"/>
      <c r="AY312" s="45" t="s">
        <v>1</v>
      </c>
      <c r="AZ312" s="45"/>
      <c r="BA312" s="67"/>
      <c r="BB312" s="61"/>
      <c r="BC312" s="45" t="s">
        <v>1</v>
      </c>
      <c r="BD312" s="67"/>
    </row>
    <row r="313" spans="3:56" ht="12" customHeight="1" x14ac:dyDescent="0.2">
      <c r="C313" s="61"/>
      <c r="D313" s="45" t="s">
        <v>2</v>
      </c>
      <c r="E313" s="67"/>
      <c r="F313" s="45" t="s">
        <v>2</v>
      </c>
      <c r="G313" s="45"/>
      <c r="H313" s="67"/>
      <c r="I313" s="45" t="s">
        <v>2</v>
      </c>
      <c r="J313" s="45"/>
      <c r="K313" s="67"/>
      <c r="L313" s="45" t="s">
        <v>2</v>
      </c>
      <c r="M313" s="45"/>
      <c r="N313" s="67"/>
      <c r="O313" s="45"/>
      <c r="P313" s="45"/>
      <c r="Q313" s="61"/>
      <c r="R313" s="45" t="s">
        <v>2</v>
      </c>
      <c r="S313" s="67"/>
      <c r="T313" s="45" t="s">
        <v>2</v>
      </c>
      <c r="U313" s="45"/>
      <c r="V313" s="67"/>
      <c r="W313" s="45" t="s">
        <v>2</v>
      </c>
      <c r="X313" s="45">
        <v>1</v>
      </c>
      <c r="Y313" s="67"/>
      <c r="Z313" s="45" t="s">
        <v>2</v>
      </c>
      <c r="AA313" s="45"/>
      <c r="AB313" s="67"/>
      <c r="AC313" s="45"/>
      <c r="AD313" s="45"/>
      <c r="AE313" s="61"/>
      <c r="AF313" s="45" t="s">
        <v>2</v>
      </c>
      <c r="AG313" s="67"/>
      <c r="AH313" s="45" t="s">
        <v>2</v>
      </c>
      <c r="AI313" s="45"/>
      <c r="AJ313" s="67"/>
      <c r="AK313" s="45" t="s">
        <v>2</v>
      </c>
      <c r="AL313" s="45"/>
      <c r="AM313" s="67"/>
      <c r="AN313" s="45" t="s">
        <v>2</v>
      </c>
      <c r="AP313" s="67"/>
      <c r="AS313" s="61"/>
      <c r="AT313" s="45" t="s">
        <v>2</v>
      </c>
      <c r="AU313" s="67"/>
      <c r="AV313" s="45" t="s">
        <v>2</v>
      </c>
      <c r="AW313" s="45"/>
      <c r="AX313" s="67"/>
      <c r="AY313" s="45" t="s">
        <v>2</v>
      </c>
      <c r="AZ313" s="45"/>
      <c r="BA313" s="67"/>
      <c r="BB313" s="61"/>
      <c r="BC313" s="45" t="s">
        <v>2</v>
      </c>
      <c r="BD313" s="67"/>
    </row>
    <row r="314" spans="3:56" ht="12" customHeight="1" x14ac:dyDescent="0.2">
      <c r="C314" s="70"/>
      <c r="D314" s="49" t="s">
        <v>3</v>
      </c>
      <c r="E314" s="71"/>
      <c r="F314" s="49" t="s">
        <v>3</v>
      </c>
      <c r="G314" s="49"/>
      <c r="H314" s="71"/>
      <c r="I314" s="49" t="s">
        <v>3</v>
      </c>
      <c r="J314" s="49"/>
      <c r="K314" s="71"/>
      <c r="L314" s="49" t="s">
        <v>3</v>
      </c>
      <c r="M314" s="49"/>
      <c r="N314" s="71"/>
      <c r="O314" s="45"/>
      <c r="P314" s="45"/>
      <c r="Q314" s="70"/>
      <c r="R314" s="49" t="s">
        <v>3</v>
      </c>
      <c r="S314" s="71"/>
      <c r="T314" s="49" t="s">
        <v>3</v>
      </c>
      <c r="U314" s="49"/>
      <c r="V314" s="71"/>
      <c r="W314" s="49" t="s">
        <v>3</v>
      </c>
      <c r="X314" s="49"/>
      <c r="Y314" s="71"/>
      <c r="Z314" s="49" t="s">
        <v>3</v>
      </c>
      <c r="AA314" s="49"/>
      <c r="AB314" s="71"/>
      <c r="AC314" s="45"/>
      <c r="AD314" s="45"/>
      <c r="AE314" s="70"/>
      <c r="AF314" s="49" t="s">
        <v>3</v>
      </c>
      <c r="AG314" s="71"/>
      <c r="AH314" s="49" t="s">
        <v>3</v>
      </c>
      <c r="AI314" s="49"/>
      <c r="AJ314" s="71"/>
      <c r="AK314" s="49" t="s">
        <v>3</v>
      </c>
      <c r="AL314" s="49"/>
      <c r="AM314" s="71"/>
      <c r="AN314" s="49" t="s">
        <v>3</v>
      </c>
      <c r="AP314" s="71"/>
      <c r="AS314" s="70"/>
      <c r="AT314" s="49" t="s">
        <v>3</v>
      </c>
      <c r="AU314" s="71"/>
      <c r="AV314" s="49" t="s">
        <v>3</v>
      </c>
      <c r="AW314" s="49"/>
      <c r="AX314" s="71"/>
      <c r="AY314" s="49" t="s">
        <v>3</v>
      </c>
      <c r="AZ314" s="49"/>
      <c r="BA314" s="71"/>
      <c r="BB314" s="70"/>
      <c r="BC314" s="49" t="s">
        <v>3</v>
      </c>
      <c r="BD314" s="71"/>
    </row>
    <row r="316" spans="3:56" ht="12" customHeight="1" x14ac:dyDescent="0.2">
      <c r="C316" s="132" t="s">
        <v>136</v>
      </c>
      <c r="D316" s="132"/>
      <c r="E316" s="132"/>
      <c r="F316" s="132"/>
      <c r="G316" s="132"/>
      <c r="H316" s="43"/>
      <c r="I316" s="43"/>
      <c r="J316" s="43"/>
      <c r="K316" s="43"/>
      <c r="L316" s="43"/>
      <c r="M316" s="43"/>
      <c r="N316" s="43"/>
      <c r="O316" s="44"/>
      <c r="P316" s="44"/>
      <c r="Q316" s="44"/>
      <c r="R316" s="44"/>
      <c r="S316" s="44"/>
      <c r="T316" s="44"/>
      <c r="U316" s="44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44"/>
      <c r="AJ316" s="44"/>
      <c r="AK316" s="44"/>
      <c r="AL316" s="44"/>
      <c r="AM316" s="44"/>
      <c r="AN316" s="44"/>
      <c r="AP316" s="44"/>
      <c r="AS316" s="44"/>
      <c r="AT316" s="44"/>
      <c r="AU316" s="44"/>
      <c r="AV316" s="44"/>
      <c r="AW316" s="44"/>
      <c r="AX316" s="44"/>
      <c r="AY316" s="44"/>
      <c r="AZ316" s="44"/>
      <c r="BA316" s="44"/>
      <c r="BB316" s="44"/>
      <c r="BC316" s="44"/>
      <c r="BD316" s="44"/>
    </row>
    <row r="317" spans="3:56" ht="12" customHeight="1" x14ac:dyDescent="0.2">
      <c r="C317" s="133"/>
      <c r="D317" s="133"/>
      <c r="E317" s="133"/>
      <c r="F317" s="133"/>
      <c r="G317" s="133"/>
      <c r="H317" s="44"/>
      <c r="I317" s="44"/>
      <c r="J317" s="44"/>
      <c r="K317" s="44"/>
      <c r="L317" s="44"/>
      <c r="M317" s="44"/>
      <c r="N317" s="44"/>
      <c r="O317" s="44"/>
      <c r="P317" s="44"/>
      <c r="Q317" s="44"/>
      <c r="R317" s="44"/>
      <c r="S317" s="44"/>
      <c r="T317" s="44"/>
      <c r="U317" s="44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44"/>
      <c r="AJ317" s="44"/>
      <c r="AK317" s="44"/>
      <c r="AL317" s="44"/>
      <c r="AM317" s="44"/>
      <c r="AN317" s="44"/>
      <c r="AP317" s="44"/>
      <c r="AS317" s="44"/>
      <c r="AT317" s="44"/>
      <c r="AU317" s="44"/>
      <c r="AV317" s="44"/>
      <c r="AW317" s="44"/>
      <c r="AX317" s="44"/>
      <c r="AY317" s="44"/>
      <c r="AZ317" s="44"/>
      <c r="BA317" s="44"/>
      <c r="BB317" s="44"/>
      <c r="BC317" s="44"/>
      <c r="BD317" s="44"/>
    </row>
    <row r="318" spans="3:56" ht="12" customHeight="1" thickBot="1" x14ac:dyDescent="0.25">
      <c r="C318" s="61"/>
      <c r="D318" s="45" t="s">
        <v>0</v>
      </c>
      <c r="E318" s="45"/>
      <c r="F318" s="62"/>
      <c r="G318" s="45"/>
      <c r="H318" s="46" t="s">
        <v>0</v>
      </c>
      <c r="I318" s="46"/>
      <c r="J318" s="63"/>
      <c r="K318" s="46"/>
      <c r="L318" s="46" t="s">
        <v>0</v>
      </c>
      <c r="M318" s="46"/>
      <c r="N318" s="64"/>
      <c r="O318" s="45"/>
      <c r="P318" s="45"/>
      <c r="Q318" s="65"/>
      <c r="R318" s="46" t="s">
        <v>0</v>
      </c>
      <c r="S318" s="46"/>
      <c r="T318" s="63"/>
      <c r="U318" s="46"/>
      <c r="V318" s="46" t="s">
        <v>0</v>
      </c>
      <c r="W318" s="46"/>
      <c r="X318" s="63"/>
      <c r="Y318" s="46"/>
      <c r="Z318" s="46" t="s">
        <v>0</v>
      </c>
      <c r="AA318" s="46"/>
      <c r="AB318" s="64"/>
      <c r="AC318" s="45"/>
      <c r="AD318" s="45"/>
      <c r="AE318" s="65"/>
      <c r="AF318" s="46" t="s">
        <v>0</v>
      </c>
      <c r="AG318" s="46"/>
      <c r="AH318" s="63"/>
      <c r="AI318" s="46"/>
      <c r="AJ318" s="46" t="s">
        <v>0</v>
      </c>
      <c r="AK318" s="46"/>
      <c r="AL318" s="63"/>
      <c r="AM318" s="81"/>
      <c r="AN318" s="46" t="s">
        <v>0</v>
      </c>
      <c r="AP318" s="64"/>
      <c r="AS318" s="65"/>
      <c r="AT318" s="46" t="s">
        <v>0</v>
      </c>
      <c r="AU318" s="46"/>
      <c r="AV318" s="63"/>
      <c r="AW318" s="46"/>
      <c r="AX318" s="46" t="s">
        <v>0</v>
      </c>
      <c r="AY318" s="46"/>
      <c r="AZ318" s="63"/>
      <c r="BA318" s="81"/>
      <c r="BB318" s="46"/>
      <c r="BC318" s="46" t="s">
        <v>0</v>
      </c>
      <c r="BD318" s="64"/>
    </row>
    <row r="319" spans="3:56" ht="12" customHeight="1" x14ac:dyDescent="0.2">
      <c r="C319" s="61"/>
      <c r="D319" s="45" t="s">
        <v>1</v>
      </c>
      <c r="E319" s="45"/>
      <c r="F319" s="62"/>
      <c r="G319" s="47"/>
      <c r="H319" s="47" t="s">
        <v>1</v>
      </c>
      <c r="I319" s="47"/>
      <c r="J319" s="66"/>
      <c r="K319" s="45"/>
      <c r="L319" s="45" t="s">
        <v>1</v>
      </c>
      <c r="M319" s="45"/>
      <c r="N319" s="67"/>
      <c r="O319" s="45"/>
      <c r="P319" s="45"/>
      <c r="Q319" s="61"/>
      <c r="R319" s="45" t="s">
        <v>1</v>
      </c>
      <c r="S319" s="45"/>
      <c r="T319" s="62"/>
      <c r="U319" s="47"/>
      <c r="V319" s="47" t="s">
        <v>1</v>
      </c>
      <c r="W319" s="47"/>
      <c r="X319" s="66"/>
      <c r="Y319" s="45"/>
      <c r="Z319" s="45" t="s">
        <v>1</v>
      </c>
      <c r="AA319" s="45"/>
      <c r="AB319" s="67"/>
      <c r="AC319" s="45"/>
      <c r="AD319" s="45"/>
      <c r="AE319" s="61"/>
      <c r="AF319" s="45" t="s">
        <v>1</v>
      </c>
      <c r="AG319" s="45"/>
      <c r="AH319" s="62"/>
      <c r="AI319" s="47"/>
      <c r="AJ319" s="47" t="s">
        <v>1</v>
      </c>
      <c r="AK319" s="47"/>
      <c r="AL319" s="66"/>
      <c r="AM319" s="82"/>
      <c r="AN319" s="45" t="s">
        <v>1</v>
      </c>
      <c r="AP319" s="67"/>
      <c r="AS319" s="61"/>
      <c r="AT319" s="45" t="s">
        <v>1</v>
      </c>
      <c r="AU319" s="45"/>
      <c r="AV319" s="62"/>
      <c r="AW319" s="47"/>
      <c r="AX319" s="47" t="s">
        <v>1</v>
      </c>
      <c r="AY319" s="47"/>
      <c r="AZ319" s="66"/>
      <c r="BA319" s="82"/>
      <c r="BB319" s="45"/>
      <c r="BC319" s="45" t="s">
        <v>1</v>
      </c>
      <c r="BD319" s="67"/>
    </row>
    <row r="320" spans="3:56" ht="12" customHeight="1" x14ac:dyDescent="0.2">
      <c r="C320" s="61"/>
      <c r="D320" s="45" t="s">
        <v>2</v>
      </c>
      <c r="E320" s="45">
        <v>1</v>
      </c>
      <c r="F320" s="62"/>
      <c r="G320" s="45"/>
      <c r="H320" s="45" t="s">
        <v>2</v>
      </c>
      <c r="I320" s="45"/>
      <c r="J320" s="62"/>
      <c r="K320" s="45"/>
      <c r="L320" s="45" t="s">
        <v>2</v>
      </c>
      <c r="M320" s="45"/>
      <c r="N320" s="67"/>
      <c r="O320" s="45"/>
      <c r="P320" s="45"/>
      <c r="Q320" s="61"/>
      <c r="R320" s="45" t="s">
        <v>2</v>
      </c>
      <c r="S320" s="45"/>
      <c r="T320" s="62"/>
      <c r="U320" s="45"/>
      <c r="V320" s="45" t="s">
        <v>2</v>
      </c>
      <c r="W320" s="45"/>
      <c r="X320" s="62"/>
      <c r="Y320" s="45"/>
      <c r="Z320" s="45" t="s">
        <v>2</v>
      </c>
      <c r="AA320" s="45"/>
      <c r="AB320" s="67"/>
      <c r="AC320" s="45"/>
      <c r="AD320" s="45"/>
      <c r="AE320" s="61"/>
      <c r="AF320" s="45" t="s">
        <v>2</v>
      </c>
      <c r="AG320" s="45">
        <v>1</v>
      </c>
      <c r="AH320" s="62"/>
      <c r="AI320" s="45"/>
      <c r="AJ320" s="45" t="s">
        <v>2</v>
      </c>
      <c r="AK320" s="45"/>
      <c r="AL320" s="62"/>
      <c r="AM320" s="82"/>
      <c r="AN320" s="45" t="s">
        <v>2</v>
      </c>
      <c r="AP320" s="67"/>
      <c r="AS320" s="61"/>
      <c r="AT320" s="45" t="s">
        <v>2</v>
      </c>
      <c r="AU320" s="45"/>
      <c r="AV320" s="62"/>
      <c r="AW320" s="45"/>
      <c r="AX320" s="45" t="s">
        <v>2</v>
      </c>
      <c r="AY320" s="45"/>
      <c r="AZ320" s="62"/>
      <c r="BA320" s="82"/>
      <c r="BB320" s="45"/>
      <c r="BC320" s="45" t="s">
        <v>2</v>
      </c>
      <c r="BD320" s="67"/>
    </row>
    <row r="321" spans="3:56" ht="12" customHeight="1" thickBot="1" x14ac:dyDescent="0.25">
      <c r="C321" s="61"/>
      <c r="D321" s="45" t="s">
        <v>3</v>
      </c>
      <c r="E321" s="45"/>
      <c r="F321" s="68"/>
      <c r="G321" s="48"/>
      <c r="H321" s="48" t="s">
        <v>3</v>
      </c>
      <c r="I321" s="48"/>
      <c r="J321" s="69"/>
      <c r="K321" s="45"/>
      <c r="L321" s="45" t="s">
        <v>3</v>
      </c>
      <c r="M321" s="45"/>
      <c r="N321" s="67"/>
      <c r="O321" s="45"/>
      <c r="P321" s="45"/>
      <c r="Q321" s="61"/>
      <c r="R321" s="45" t="s">
        <v>3</v>
      </c>
      <c r="S321" s="45"/>
      <c r="T321" s="68"/>
      <c r="U321" s="48"/>
      <c r="V321" s="48" t="s">
        <v>3</v>
      </c>
      <c r="W321" s="48"/>
      <c r="X321" s="69"/>
      <c r="Y321" s="45"/>
      <c r="Z321" s="45" t="s">
        <v>3</v>
      </c>
      <c r="AA321" s="45"/>
      <c r="AB321" s="67"/>
      <c r="AC321" s="45"/>
      <c r="AD321" s="45"/>
      <c r="AE321" s="61"/>
      <c r="AF321" s="45" t="s">
        <v>3</v>
      </c>
      <c r="AG321" s="45"/>
      <c r="AH321" s="68"/>
      <c r="AI321" s="48"/>
      <c r="AJ321" s="48" t="s">
        <v>3</v>
      </c>
      <c r="AK321" s="48"/>
      <c r="AL321" s="69"/>
      <c r="AM321" s="83"/>
      <c r="AN321" s="45" t="s">
        <v>3</v>
      </c>
      <c r="AP321" s="67"/>
      <c r="AS321" s="61"/>
      <c r="AT321" s="45" t="s">
        <v>3</v>
      </c>
      <c r="AU321" s="45"/>
      <c r="AV321" s="68"/>
      <c r="AW321" s="48"/>
      <c r="AX321" s="48" t="s">
        <v>3</v>
      </c>
      <c r="AY321" s="48"/>
      <c r="AZ321" s="69"/>
      <c r="BA321" s="83"/>
      <c r="BB321" s="45"/>
      <c r="BC321" s="45" t="s">
        <v>3</v>
      </c>
      <c r="BD321" s="67"/>
    </row>
    <row r="322" spans="3:56" ht="12" customHeight="1" x14ac:dyDescent="0.2">
      <c r="C322" s="65"/>
      <c r="D322" s="46" t="s">
        <v>0</v>
      </c>
      <c r="E322" s="46">
        <v>1</v>
      </c>
      <c r="F322" s="67"/>
      <c r="G322" s="45"/>
      <c r="H322" s="40" t="s">
        <v>0</v>
      </c>
      <c r="I322" s="45"/>
      <c r="J322" s="62"/>
      <c r="K322" s="46"/>
      <c r="L322" s="46" t="s">
        <v>0</v>
      </c>
      <c r="M322" s="46"/>
      <c r="N322" s="64"/>
      <c r="O322" s="45"/>
      <c r="P322" s="45"/>
      <c r="Q322" s="65"/>
      <c r="R322" s="46" t="s">
        <v>0</v>
      </c>
      <c r="S322" s="46">
        <v>1</v>
      </c>
      <c r="T322" s="67"/>
      <c r="U322" s="45"/>
      <c r="V322" s="40" t="s">
        <v>0</v>
      </c>
      <c r="W322" s="45"/>
      <c r="X322" s="62"/>
      <c r="Y322" s="46"/>
      <c r="Z322" s="46" t="s">
        <v>0</v>
      </c>
      <c r="AA322" s="46"/>
      <c r="AB322" s="64"/>
      <c r="AC322" s="45"/>
      <c r="AD322" s="45"/>
      <c r="AE322" s="65"/>
      <c r="AF322" s="46" t="s">
        <v>0</v>
      </c>
      <c r="AG322" s="46">
        <v>1</v>
      </c>
      <c r="AH322" s="67"/>
      <c r="AI322" s="45"/>
      <c r="AJ322" s="40" t="s">
        <v>0</v>
      </c>
      <c r="AK322" s="45"/>
      <c r="AL322" s="62"/>
      <c r="AM322" s="46"/>
      <c r="AN322" s="46" t="s">
        <v>0</v>
      </c>
      <c r="AP322" s="64"/>
      <c r="AS322" s="65"/>
      <c r="AT322" s="46" t="s">
        <v>0</v>
      </c>
      <c r="AU322" s="46"/>
      <c r="AV322" s="67"/>
      <c r="AW322" s="45"/>
      <c r="AX322" s="40" t="s">
        <v>0</v>
      </c>
      <c r="AY322" s="45"/>
      <c r="AZ322" s="62"/>
      <c r="BA322" s="46"/>
      <c r="BB322" s="46"/>
      <c r="BC322" s="46" t="s">
        <v>0</v>
      </c>
      <c r="BD322" s="64"/>
    </row>
    <row r="323" spans="3:56" ht="12" customHeight="1" x14ac:dyDescent="0.2">
      <c r="C323" s="61"/>
      <c r="D323" s="45" t="s">
        <v>1</v>
      </c>
      <c r="E323" s="45"/>
      <c r="F323" s="67"/>
      <c r="G323" s="45"/>
      <c r="H323" s="38" t="s">
        <v>1</v>
      </c>
      <c r="I323" s="45">
        <v>1</v>
      </c>
      <c r="J323" s="67"/>
      <c r="K323" s="45"/>
      <c r="L323" s="45" t="s">
        <v>1</v>
      </c>
      <c r="M323" s="45"/>
      <c r="N323" s="67"/>
      <c r="O323" s="45"/>
      <c r="P323" s="45"/>
      <c r="Q323" s="61"/>
      <c r="R323" s="45" t="s">
        <v>1</v>
      </c>
      <c r="S323" s="45">
        <v>1</v>
      </c>
      <c r="T323" s="67"/>
      <c r="U323" s="45"/>
      <c r="V323" s="38" t="s">
        <v>1</v>
      </c>
      <c r="W323" s="45">
        <v>1</v>
      </c>
      <c r="X323" s="67"/>
      <c r="Y323" s="45"/>
      <c r="Z323" s="45" t="s">
        <v>1</v>
      </c>
      <c r="AA323" s="45"/>
      <c r="AB323" s="67"/>
      <c r="AC323" s="45"/>
      <c r="AD323" s="45"/>
      <c r="AE323" s="61"/>
      <c r="AF323" s="45" t="s">
        <v>1</v>
      </c>
      <c r="AG323" s="45"/>
      <c r="AH323" s="67"/>
      <c r="AI323" s="45"/>
      <c r="AJ323" s="38" t="s">
        <v>1</v>
      </c>
      <c r="AK323" s="45"/>
      <c r="AL323" s="67"/>
      <c r="AM323" s="45"/>
      <c r="AN323" s="45" t="s">
        <v>1</v>
      </c>
      <c r="AP323" s="67"/>
      <c r="AS323" s="61"/>
      <c r="AT323" s="45" t="s">
        <v>1</v>
      </c>
      <c r="AU323" s="45"/>
      <c r="AV323" s="67"/>
      <c r="AW323" s="45"/>
      <c r="AX323" s="38" t="s">
        <v>1</v>
      </c>
      <c r="AY323" s="45"/>
      <c r="AZ323" s="67"/>
      <c r="BA323" s="45"/>
      <c r="BB323" s="45"/>
      <c r="BC323" s="45" t="s">
        <v>1</v>
      </c>
      <c r="BD323" s="67"/>
    </row>
    <row r="324" spans="3:56" ht="12" customHeight="1" x14ac:dyDescent="0.2">
      <c r="C324" s="61"/>
      <c r="D324" s="45" t="s">
        <v>2</v>
      </c>
      <c r="E324" s="45"/>
      <c r="F324" s="67"/>
      <c r="G324" s="45"/>
      <c r="H324" s="38" t="s">
        <v>2</v>
      </c>
      <c r="I324" s="45">
        <v>1</v>
      </c>
      <c r="J324" s="67"/>
      <c r="K324" s="45"/>
      <c r="L324" s="45" t="s">
        <v>2</v>
      </c>
      <c r="M324" s="45"/>
      <c r="N324" s="67"/>
      <c r="O324" s="45"/>
      <c r="P324" s="45"/>
      <c r="Q324" s="61"/>
      <c r="R324" s="45" t="s">
        <v>2</v>
      </c>
      <c r="S324" s="45"/>
      <c r="T324" s="67"/>
      <c r="U324" s="45"/>
      <c r="V324" s="38" t="s">
        <v>2</v>
      </c>
      <c r="W324" s="45"/>
      <c r="X324" s="67"/>
      <c r="Y324" s="45"/>
      <c r="Z324" s="45" t="s">
        <v>2</v>
      </c>
      <c r="AA324" s="45"/>
      <c r="AB324" s="67"/>
      <c r="AC324" s="45"/>
      <c r="AD324" s="45"/>
      <c r="AE324" s="61"/>
      <c r="AF324" s="45" t="s">
        <v>2</v>
      </c>
      <c r="AG324" s="45"/>
      <c r="AH324" s="67"/>
      <c r="AI324" s="45"/>
      <c r="AJ324" s="38" t="s">
        <v>2</v>
      </c>
      <c r="AK324" s="45"/>
      <c r="AL324" s="67"/>
      <c r="AM324" s="45"/>
      <c r="AN324" s="45" t="s">
        <v>2</v>
      </c>
      <c r="AP324" s="67"/>
      <c r="AS324" s="61"/>
      <c r="AT324" s="45" t="s">
        <v>2</v>
      </c>
      <c r="AU324" s="45"/>
      <c r="AV324" s="67"/>
      <c r="AW324" s="45"/>
      <c r="AX324" s="38" t="s">
        <v>2</v>
      </c>
      <c r="AY324" s="45"/>
      <c r="AZ324" s="67"/>
      <c r="BA324" s="45"/>
      <c r="BB324" s="45"/>
      <c r="BC324" s="45" t="s">
        <v>2</v>
      </c>
      <c r="BD324" s="67"/>
    </row>
    <row r="325" spans="3:56" ht="12" customHeight="1" x14ac:dyDescent="0.2">
      <c r="C325" s="70"/>
      <c r="D325" s="49" t="s">
        <v>3</v>
      </c>
      <c r="E325" s="49"/>
      <c r="F325" s="71"/>
      <c r="G325" s="49"/>
      <c r="H325" s="39" t="s">
        <v>3</v>
      </c>
      <c r="I325" s="49"/>
      <c r="J325" s="71"/>
      <c r="K325" s="49"/>
      <c r="L325" s="49" t="s">
        <v>3</v>
      </c>
      <c r="M325" s="49"/>
      <c r="N325" s="71"/>
      <c r="O325" s="45"/>
      <c r="P325" s="45"/>
      <c r="Q325" s="70"/>
      <c r="R325" s="49" t="s">
        <v>3</v>
      </c>
      <c r="S325" s="49">
        <v>1</v>
      </c>
      <c r="T325" s="71"/>
      <c r="U325" s="49"/>
      <c r="V325" s="39" t="s">
        <v>3</v>
      </c>
      <c r="W325" s="49"/>
      <c r="X325" s="71"/>
      <c r="Y325" s="49"/>
      <c r="Z325" s="49" t="s">
        <v>3</v>
      </c>
      <c r="AA325" s="49"/>
      <c r="AB325" s="71"/>
      <c r="AC325" s="45"/>
      <c r="AD325" s="45"/>
      <c r="AE325" s="70"/>
      <c r="AF325" s="49" t="s">
        <v>3</v>
      </c>
      <c r="AG325" s="49"/>
      <c r="AH325" s="71"/>
      <c r="AI325" s="49"/>
      <c r="AJ325" s="39" t="s">
        <v>3</v>
      </c>
      <c r="AK325" s="49"/>
      <c r="AL325" s="71"/>
      <c r="AM325" s="49"/>
      <c r="AN325" s="49" t="s">
        <v>3</v>
      </c>
      <c r="AP325" s="71"/>
      <c r="AS325" s="70"/>
      <c r="AT325" s="49" t="s">
        <v>3</v>
      </c>
      <c r="AU325" s="49"/>
      <c r="AV325" s="71"/>
      <c r="AW325" s="49"/>
      <c r="AX325" s="39" t="s">
        <v>3</v>
      </c>
      <c r="AY325" s="49"/>
      <c r="AZ325" s="71"/>
      <c r="BA325" s="49"/>
      <c r="BB325" s="49"/>
      <c r="BC325" s="49" t="s">
        <v>3</v>
      </c>
      <c r="BD325" s="71"/>
    </row>
    <row r="326" spans="3:56" ht="12" customHeight="1" x14ac:dyDescent="0.2">
      <c r="C326" s="61"/>
      <c r="D326" s="45" t="s">
        <v>0</v>
      </c>
      <c r="E326" s="67"/>
      <c r="F326" s="45" t="s">
        <v>0</v>
      </c>
      <c r="G326" s="45"/>
      <c r="H326" s="67"/>
      <c r="I326" s="45" t="s">
        <v>0</v>
      </c>
      <c r="J326" s="45"/>
      <c r="K326" s="67"/>
      <c r="L326" s="45" t="s">
        <v>0</v>
      </c>
      <c r="M326" s="45"/>
      <c r="N326" s="67"/>
      <c r="O326" s="45"/>
      <c r="P326" s="45"/>
      <c r="Q326" s="61"/>
      <c r="R326" s="45" t="s">
        <v>0</v>
      </c>
      <c r="S326" s="67"/>
      <c r="T326" s="45" t="s">
        <v>0</v>
      </c>
      <c r="U326" s="45"/>
      <c r="V326" s="67"/>
      <c r="W326" s="45" t="s">
        <v>0</v>
      </c>
      <c r="X326" s="45"/>
      <c r="Y326" s="67"/>
      <c r="Z326" s="45" t="s">
        <v>0</v>
      </c>
      <c r="AA326" s="45"/>
      <c r="AB326" s="67"/>
      <c r="AC326" s="45"/>
      <c r="AD326" s="45"/>
      <c r="AE326" s="61"/>
      <c r="AF326" s="45" t="s">
        <v>0</v>
      </c>
      <c r="AG326" s="67"/>
      <c r="AH326" s="45" t="s">
        <v>0</v>
      </c>
      <c r="AI326" s="45"/>
      <c r="AJ326" s="67"/>
      <c r="AK326" s="45" t="s">
        <v>0</v>
      </c>
      <c r="AL326" s="45"/>
      <c r="AM326" s="67"/>
      <c r="AN326" s="45" t="s">
        <v>0</v>
      </c>
      <c r="AP326" s="67"/>
      <c r="AS326" s="61"/>
      <c r="AT326" s="45" t="s">
        <v>0</v>
      </c>
      <c r="AU326" s="67"/>
      <c r="AV326" s="45" t="s">
        <v>0</v>
      </c>
      <c r="AW326" s="45"/>
      <c r="AX326" s="67"/>
      <c r="AY326" s="45" t="s">
        <v>0</v>
      </c>
      <c r="AZ326" s="45"/>
      <c r="BA326" s="67"/>
      <c r="BB326" s="61"/>
      <c r="BC326" s="45" t="s">
        <v>0</v>
      </c>
      <c r="BD326" s="67"/>
    </row>
    <row r="327" spans="3:56" ht="12" customHeight="1" x14ac:dyDescent="0.2">
      <c r="C327" s="61"/>
      <c r="D327" s="45" t="s">
        <v>1</v>
      </c>
      <c r="E327" s="67"/>
      <c r="F327" s="45" t="s">
        <v>1</v>
      </c>
      <c r="G327" s="45"/>
      <c r="H327" s="67"/>
      <c r="I327" s="45" t="s">
        <v>1</v>
      </c>
      <c r="J327" s="45"/>
      <c r="K327" s="67"/>
      <c r="L327" s="45" t="s">
        <v>1</v>
      </c>
      <c r="M327" s="45"/>
      <c r="N327" s="67"/>
      <c r="O327" s="45"/>
      <c r="P327" s="45"/>
      <c r="Q327" s="61"/>
      <c r="R327" s="45" t="s">
        <v>1</v>
      </c>
      <c r="S327" s="67"/>
      <c r="T327" s="45" t="s">
        <v>1</v>
      </c>
      <c r="U327" s="45"/>
      <c r="V327" s="67"/>
      <c r="W327" s="45" t="s">
        <v>1</v>
      </c>
      <c r="X327" s="45"/>
      <c r="Y327" s="67"/>
      <c r="Z327" s="45" t="s">
        <v>1</v>
      </c>
      <c r="AA327" s="45"/>
      <c r="AB327" s="67"/>
      <c r="AC327" s="45"/>
      <c r="AD327" s="45"/>
      <c r="AE327" s="61"/>
      <c r="AF327" s="45" t="s">
        <v>1</v>
      </c>
      <c r="AG327" s="67"/>
      <c r="AH327" s="45" t="s">
        <v>1</v>
      </c>
      <c r="AI327" s="45"/>
      <c r="AJ327" s="67"/>
      <c r="AK327" s="45" t="s">
        <v>1</v>
      </c>
      <c r="AL327" s="45"/>
      <c r="AM327" s="67"/>
      <c r="AN327" s="45" t="s">
        <v>1</v>
      </c>
      <c r="AP327" s="67"/>
      <c r="AS327" s="61"/>
      <c r="AT327" s="45" t="s">
        <v>1</v>
      </c>
      <c r="AU327" s="67"/>
      <c r="AV327" s="45" t="s">
        <v>1</v>
      </c>
      <c r="AW327" s="45"/>
      <c r="AX327" s="67"/>
      <c r="AY327" s="45" t="s">
        <v>1</v>
      </c>
      <c r="AZ327" s="45"/>
      <c r="BA327" s="67"/>
      <c r="BB327" s="61"/>
      <c r="BC327" s="45" t="s">
        <v>1</v>
      </c>
      <c r="BD327" s="67"/>
    </row>
    <row r="328" spans="3:56" ht="12" customHeight="1" x14ac:dyDescent="0.2">
      <c r="C328" s="61"/>
      <c r="D328" s="45" t="s">
        <v>2</v>
      </c>
      <c r="E328" s="67"/>
      <c r="F328" s="45" t="s">
        <v>2</v>
      </c>
      <c r="G328" s="45"/>
      <c r="H328" s="67"/>
      <c r="I328" s="45" t="s">
        <v>2</v>
      </c>
      <c r="J328" s="45"/>
      <c r="K328" s="67"/>
      <c r="L328" s="45" t="s">
        <v>2</v>
      </c>
      <c r="M328" s="45"/>
      <c r="N328" s="67"/>
      <c r="O328" s="45"/>
      <c r="P328" s="45"/>
      <c r="Q328" s="61"/>
      <c r="R328" s="45" t="s">
        <v>2</v>
      </c>
      <c r="S328" s="67"/>
      <c r="T328" s="45" t="s">
        <v>2</v>
      </c>
      <c r="U328" s="45"/>
      <c r="V328" s="67"/>
      <c r="W328" s="45" t="s">
        <v>2</v>
      </c>
      <c r="X328" s="45"/>
      <c r="Y328" s="67"/>
      <c r="Z328" s="45" t="s">
        <v>2</v>
      </c>
      <c r="AA328" s="45"/>
      <c r="AB328" s="67"/>
      <c r="AC328" s="45"/>
      <c r="AD328" s="45"/>
      <c r="AE328" s="61"/>
      <c r="AF328" s="45" t="s">
        <v>2</v>
      </c>
      <c r="AG328" s="67"/>
      <c r="AH328" s="45" t="s">
        <v>2</v>
      </c>
      <c r="AI328" s="45"/>
      <c r="AJ328" s="67"/>
      <c r="AK328" s="45" t="s">
        <v>2</v>
      </c>
      <c r="AL328" s="45"/>
      <c r="AM328" s="67"/>
      <c r="AN328" s="45" t="s">
        <v>2</v>
      </c>
      <c r="AP328" s="67"/>
      <c r="AS328" s="61"/>
      <c r="AT328" s="45" t="s">
        <v>2</v>
      </c>
      <c r="AU328" s="67"/>
      <c r="AV328" s="45" t="s">
        <v>2</v>
      </c>
      <c r="AW328" s="45"/>
      <c r="AX328" s="67"/>
      <c r="AY328" s="45" t="s">
        <v>2</v>
      </c>
      <c r="AZ328" s="45"/>
      <c r="BA328" s="67"/>
      <c r="BB328" s="61"/>
      <c r="BC328" s="45" t="s">
        <v>2</v>
      </c>
      <c r="BD328" s="67"/>
    </row>
    <row r="329" spans="3:56" ht="12" customHeight="1" x14ac:dyDescent="0.2">
      <c r="C329" s="70"/>
      <c r="D329" s="49" t="s">
        <v>3</v>
      </c>
      <c r="E329" s="71"/>
      <c r="F329" s="49" t="s">
        <v>3</v>
      </c>
      <c r="G329" s="49"/>
      <c r="H329" s="71"/>
      <c r="I329" s="49" t="s">
        <v>3</v>
      </c>
      <c r="J329" s="49"/>
      <c r="K329" s="71"/>
      <c r="L329" s="49" t="s">
        <v>3</v>
      </c>
      <c r="M329" s="49"/>
      <c r="N329" s="71"/>
      <c r="O329" s="45"/>
      <c r="P329" s="45"/>
      <c r="Q329" s="70"/>
      <c r="R329" s="49" t="s">
        <v>3</v>
      </c>
      <c r="S329" s="71"/>
      <c r="T329" s="49" t="s">
        <v>3</v>
      </c>
      <c r="U329" s="49"/>
      <c r="V329" s="71"/>
      <c r="W329" s="49" t="s">
        <v>3</v>
      </c>
      <c r="X329" s="49"/>
      <c r="Y329" s="71"/>
      <c r="Z329" s="49" t="s">
        <v>3</v>
      </c>
      <c r="AA329" s="49"/>
      <c r="AB329" s="71"/>
      <c r="AC329" s="45"/>
      <c r="AD329" s="45"/>
      <c r="AE329" s="70"/>
      <c r="AF329" s="49" t="s">
        <v>3</v>
      </c>
      <c r="AG329" s="71"/>
      <c r="AH329" s="49" t="s">
        <v>3</v>
      </c>
      <c r="AI329" s="49"/>
      <c r="AJ329" s="71"/>
      <c r="AK329" s="49" t="s">
        <v>3</v>
      </c>
      <c r="AL329" s="49"/>
      <c r="AM329" s="71"/>
      <c r="AN329" s="49" t="s">
        <v>3</v>
      </c>
      <c r="AP329" s="71"/>
      <c r="AS329" s="70"/>
      <c r="AT329" s="49" t="s">
        <v>3</v>
      </c>
      <c r="AU329" s="71"/>
      <c r="AV329" s="49" t="s">
        <v>3</v>
      </c>
      <c r="AW329" s="49"/>
      <c r="AX329" s="71"/>
      <c r="AY329" s="49" t="s">
        <v>3</v>
      </c>
      <c r="AZ329" s="49"/>
      <c r="BA329" s="71"/>
      <c r="BB329" s="70"/>
      <c r="BC329" s="49" t="s">
        <v>3</v>
      </c>
      <c r="BD329" s="71"/>
    </row>
    <row r="331" spans="3:56" ht="12" customHeight="1" x14ac:dyDescent="0.2">
      <c r="C331" s="132" t="s">
        <v>137</v>
      </c>
      <c r="D331" s="132"/>
      <c r="E331" s="132"/>
      <c r="F331" s="132"/>
      <c r="G331" s="132"/>
      <c r="H331" s="43"/>
      <c r="I331" s="43"/>
      <c r="J331" s="43"/>
      <c r="K331" s="43"/>
      <c r="L331" s="43"/>
      <c r="M331" s="43"/>
      <c r="N331" s="43"/>
      <c r="O331" s="44"/>
      <c r="P331" s="44"/>
      <c r="Q331" s="44"/>
      <c r="R331" s="44"/>
      <c r="S331" s="44"/>
      <c r="T331" s="44"/>
      <c r="U331" s="44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44"/>
      <c r="AJ331" s="44"/>
      <c r="AK331" s="44"/>
      <c r="AL331" s="44"/>
      <c r="AM331" s="44"/>
      <c r="AN331" s="44"/>
      <c r="AP331" s="44"/>
      <c r="AS331" s="44"/>
      <c r="AT331" s="44"/>
      <c r="AU331" s="44"/>
      <c r="AV331" s="44"/>
      <c r="AW331" s="44"/>
      <c r="AX331" s="44"/>
      <c r="AY331" s="44"/>
      <c r="AZ331" s="44"/>
      <c r="BA331" s="44"/>
      <c r="BB331" s="44"/>
      <c r="BC331" s="44"/>
      <c r="BD331" s="44"/>
    </row>
    <row r="332" spans="3:56" ht="12" customHeight="1" x14ac:dyDescent="0.2">
      <c r="C332" s="133"/>
      <c r="D332" s="133"/>
      <c r="E332" s="133"/>
      <c r="F332" s="133"/>
      <c r="G332" s="133"/>
      <c r="H332" s="44"/>
      <c r="I332" s="44"/>
      <c r="J332" s="44"/>
      <c r="K332" s="44"/>
      <c r="L332" s="44"/>
      <c r="M332" s="44"/>
      <c r="N332" s="44"/>
      <c r="O332" s="44"/>
      <c r="P332" s="44"/>
      <c r="Q332" s="44"/>
      <c r="R332" s="44"/>
      <c r="S332" s="44"/>
      <c r="T332" s="44"/>
      <c r="U332" s="44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44"/>
      <c r="AJ332" s="44"/>
      <c r="AK332" s="44"/>
      <c r="AL332" s="44"/>
      <c r="AM332" s="44"/>
      <c r="AN332" s="44"/>
      <c r="AP332" s="44"/>
      <c r="AS332" s="44"/>
      <c r="AT332" s="44"/>
      <c r="AU332" s="44"/>
      <c r="AV332" s="44"/>
      <c r="AW332" s="44"/>
      <c r="AX332" s="44"/>
      <c r="AY332" s="44"/>
      <c r="AZ332" s="44"/>
      <c r="BA332" s="44"/>
      <c r="BB332" s="44"/>
      <c r="BC332" s="44"/>
      <c r="BD332" s="44"/>
    </row>
    <row r="333" spans="3:56" ht="12" customHeight="1" thickBot="1" x14ac:dyDescent="0.25">
      <c r="C333" s="61"/>
      <c r="D333" s="45" t="s">
        <v>0</v>
      </c>
      <c r="E333" s="45"/>
      <c r="F333" s="62"/>
      <c r="G333" s="45"/>
      <c r="H333" s="46" t="s">
        <v>0</v>
      </c>
      <c r="I333" s="46"/>
      <c r="J333" s="63"/>
      <c r="K333" s="46"/>
      <c r="L333" s="46" t="s">
        <v>0</v>
      </c>
      <c r="M333" s="46"/>
      <c r="N333" s="64"/>
      <c r="O333" s="45"/>
      <c r="P333" s="45"/>
      <c r="Q333" s="65"/>
      <c r="R333" s="46" t="s">
        <v>0</v>
      </c>
      <c r="S333" s="46"/>
      <c r="T333" s="63"/>
      <c r="U333" s="46"/>
      <c r="V333" s="46" t="s">
        <v>0</v>
      </c>
      <c r="W333" s="46"/>
      <c r="X333" s="63"/>
      <c r="Y333" s="46"/>
      <c r="Z333" s="46" t="s">
        <v>0</v>
      </c>
      <c r="AA333" s="46"/>
      <c r="AB333" s="64"/>
      <c r="AC333" s="45"/>
      <c r="AD333" s="45"/>
      <c r="AE333" s="65"/>
      <c r="AF333" s="46" t="s">
        <v>0</v>
      </c>
      <c r="AG333" s="46"/>
      <c r="AH333" s="63"/>
      <c r="AI333" s="46"/>
      <c r="AJ333" s="46" t="s">
        <v>0</v>
      </c>
      <c r="AK333" s="46"/>
      <c r="AL333" s="63"/>
      <c r="AM333" s="81"/>
      <c r="AN333" s="46" t="s">
        <v>0</v>
      </c>
      <c r="AP333" s="64"/>
      <c r="AS333" s="65"/>
      <c r="AT333" s="46" t="s">
        <v>0</v>
      </c>
      <c r="AU333" s="46"/>
      <c r="AV333" s="63"/>
      <c r="AW333" s="46"/>
      <c r="AX333" s="46" t="s">
        <v>0</v>
      </c>
      <c r="AY333" s="46"/>
      <c r="AZ333" s="63"/>
      <c r="BA333" s="81"/>
      <c r="BB333" s="46"/>
      <c r="BC333" s="46" t="s">
        <v>0</v>
      </c>
      <c r="BD333" s="64"/>
    </row>
    <row r="334" spans="3:56" ht="12" customHeight="1" x14ac:dyDescent="0.2">
      <c r="C334" s="61"/>
      <c r="D334" s="45" t="s">
        <v>1</v>
      </c>
      <c r="E334" s="45"/>
      <c r="F334" s="62"/>
      <c r="G334" s="47"/>
      <c r="H334" s="47" t="s">
        <v>1</v>
      </c>
      <c r="I334" s="47"/>
      <c r="J334" s="66"/>
      <c r="K334" s="45"/>
      <c r="L334" s="45" t="s">
        <v>1</v>
      </c>
      <c r="M334" s="45"/>
      <c r="N334" s="67"/>
      <c r="O334" s="45"/>
      <c r="P334" s="45"/>
      <c r="Q334" s="61"/>
      <c r="R334" s="45" t="s">
        <v>1</v>
      </c>
      <c r="S334" s="45"/>
      <c r="T334" s="62"/>
      <c r="U334" s="47"/>
      <c r="V334" s="47" t="s">
        <v>1</v>
      </c>
      <c r="W334" s="47"/>
      <c r="X334" s="66"/>
      <c r="Y334" s="45"/>
      <c r="Z334" s="45" t="s">
        <v>1</v>
      </c>
      <c r="AA334" s="45"/>
      <c r="AB334" s="67"/>
      <c r="AC334" s="45"/>
      <c r="AD334" s="45"/>
      <c r="AE334" s="61"/>
      <c r="AF334" s="45" t="s">
        <v>1</v>
      </c>
      <c r="AG334" s="45"/>
      <c r="AH334" s="62"/>
      <c r="AI334" s="47"/>
      <c r="AJ334" s="47" t="s">
        <v>1</v>
      </c>
      <c r="AK334" s="47"/>
      <c r="AL334" s="66"/>
      <c r="AM334" s="82"/>
      <c r="AN334" s="45" t="s">
        <v>1</v>
      </c>
      <c r="AP334" s="67"/>
      <c r="AS334" s="61"/>
      <c r="AT334" s="45" t="s">
        <v>1</v>
      </c>
      <c r="AU334" s="45"/>
      <c r="AV334" s="62"/>
      <c r="AW334" s="47"/>
      <c r="AX334" s="47" t="s">
        <v>1</v>
      </c>
      <c r="AY334" s="47"/>
      <c r="AZ334" s="66"/>
      <c r="BA334" s="82"/>
      <c r="BB334" s="45"/>
      <c r="BC334" s="45" t="s">
        <v>1</v>
      </c>
      <c r="BD334" s="67"/>
    </row>
    <row r="335" spans="3:56" ht="12" customHeight="1" x14ac:dyDescent="0.2">
      <c r="C335" s="61"/>
      <c r="D335" s="45" t="s">
        <v>2</v>
      </c>
      <c r="E335" s="45"/>
      <c r="F335" s="62"/>
      <c r="G335" s="45"/>
      <c r="H335" s="45" t="s">
        <v>2</v>
      </c>
      <c r="I335" s="45"/>
      <c r="J335" s="62"/>
      <c r="K335" s="45"/>
      <c r="L335" s="45" t="s">
        <v>2</v>
      </c>
      <c r="M335" s="45"/>
      <c r="N335" s="67"/>
      <c r="O335" s="45"/>
      <c r="P335" s="45"/>
      <c r="Q335" s="61"/>
      <c r="R335" s="45" t="s">
        <v>2</v>
      </c>
      <c r="S335" s="45"/>
      <c r="T335" s="62"/>
      <c r="U335" s="45"/>
      <c r="V335" s="45" t="s">
        <v>2</v>
      </c>
      <c r="W335" s="45"/>
      <c r="X335" s="62"/>
      <c r="Y335" s="45"/>
      <c r="Z335" s="45" t="s">
        <v>2</v>
      </c>
      <c r="AA335" s="45">
        <v>1</v>
      </c>
      <c r="AB335" s="67"/>
      <c r="AC335" s="45"/>
      <c r="AD335" s="45"/>
      <c r="AE335" s="61"/>
      <c r="AF335" s="45" t="s">
        <v>2</v>
      </c>
      <c r="AG335" s="45"/>
      <c r="AH335" s="62"/>
      <c r="AI335" s="45"/>
      <c r="AJ335" s="45" t="s">
        <v>2</v>
      </c>
      <c r="AK335" s="45"/>
      <c r="AL335" s="62"/>
      <c r="AM335" s="82"/>
      <c r="AN335" s="45" t="s">
        <v>2</v>
      </c>
      <c r="AP335" s="67"/>
      <c r="AS335" s="61"/>
      <c r="AT335" s="45" t="s">
        <v>2</v>
      </c>
      <c r="AU335" s="45"/>
      <c r="AV335" s="62"/>
      <c r="AW335" s="45"/>
      <c r="AX335" s="45" t="s">
        <v>2</v>
      </c>
      <c r="AY335" s="45"/>
      <c r="AZ335" s="62"/>
      <c r="BA335" s="82"/>
      <c r="BB335" s="45"/>
      <c r="BC335" s="45" t="s">
        <v>2</v>
      </c>
      <c r="BD335" s="67"/>
    </row>
    <row r="336" spans="3:56" ht="12" customHeight="1" thickBot="1" x14ac:dyDescent="0.25">
      <c r="C336" s="61"/>
      <c r="D336" s="45" t="s">
        <v>3</v>
      </c>
      <c r="E336" s="45"/>
      <c r="F336" s="68"/>
      <c r="G336" s="48"/>
      <c r="H336" s="48" t="s">
        <v>3</v>
      </c>
      <c r="I336" s="48"/>
      <c r="J336" s="69"/>
      <c r="K336" s="45"/>
      <c r="L336" s="45" t="s">
        <v>3</v>
      </c>
      <c r="M336" s="45"/>
      <c r="N336" s="67"/>
      <c r="O336" s="45"/>
      <c r="P336" s="45"/>
      <c r="Q336" s="61"/>
      <c r="R336" s="45" t="s">
        <v>3</v>
      </c>
      <c r="S336" s="45"/>
      <c r="T336" s="68"/>
      <c r="U336" s="48"/>
      <c r="V336" s="48" t="s">
        <v>3</v>
      </c>
      <c r="W336" s="48"/>
      <c r="X336" s="69"/>
      <c r="Y336" s="45"/>
      <c r="Z336" s="45" t="s">
        <v>3</v>
      </c>
      <c r="AA336" s="45"/>
      <c r="AB336" s="67"/>
      <c r="AC336" s="45"/>
      <c r="AD336" s="45"/>
      <c r="AE336" s="61"/>
      <c r="AF336" s="45" t="s">
        <v>3</v>
      </c>
      <c r="AG336" s="45"/>
      <c r="AH336" s="68"/>
      <c r="AI336" s="48"/>
      <c r="AJ336" s="48" t="s">
        <v>3</v>
      </c>
      <c r="AK336" s="48"/>
      <c r="AL336" s="69"/>
      <c r="AM336" s="83"/>
      <c r="AN336" s="45" t="s">
        <v>3</v>
      </c>
      <c r="AP336" s="67"/>
      <c r="AS336" s="61"/>
      <c r="AT336" s="45" t="s">
        <v>3</v>
      </c>
      <c r="AU336" s="45"/>
      <c r="AV336" s="68"/>
      <c r="AW336" s="48"/>
      <c r="AX336" s="48" t="s">
        <v>3</v>
      </c>
      <c r="AY336" s="48"/>
      <c r="AZ336" s="69"/>
      <c r="BA336" s="83"/>
      <c r="BB336" s="45"/>
      <c r="BC336" s="45" t="s">
        <v>3</v>
      </c>
      <c r="BD336" s="67"/>
    </row>
    <row r="337" spans="3:56" ht="12" customHeight="1" x14ac:dyDescent="0.2">
      <c r="C337" s="65"/>
      <c r="D337" s="46" t="s">
        <v>0</v>
      </c>
      <c r="E337" s="46"/>
      <c r="F337" s="67"/>
      <c r="G337" s="45"/>
      <c r="H337" s="40" t="s">
        <v>0</v>
      </c>
      <c r="I337" s="45"/>
      <c r="J337" s="62"/>
      <c r="K337" s="46"/>
      <c r="L337" s="46" t="s">
        <v>0</v>
      </c>
      <c r="M337" s="46">
        <v>1</v>
      </c>
      <c r="N337" s="64"/>
      <c r="O337" s="45"/>
      <c r="P337" s="45"/>
      <c r="Q337" s="65"/>
      <c r="R337" s="46" t="s">
        <v>0</v>
      </c>
      <c r="S337" s="46"/>
      <c r="T337" s="67"/>
      <c r="U337" s="45"/>
      <c r="V337" s="40" t="s">
        <v>0</v>
      </c>
      <c r="W337" s="45"/>
      <c r="X337" s="62"/>
      <c r="Y337" s="46"/>
      <c r="Z337" s="46" t="s">
        <v>0</v>
      </c>
      <c r="AA337" s="46"/>
      <c r="AB337" s="64"/>
      <c r="AC337" s="45"/>
      <c r="AD337" s="45"/>
      <c r="AE337" s="65"/>
      <c r="AF337" s="46" t="s">
        <v>0</v>
      </c>
      <c r="AG337" s="46"/>
      <c r="AH337" s="67"/>
      <c r="AI337" s="45"/>
      <c r="AJ337" s="40" t="s">
        <v>0</v>
      </c>
      <c r="AK337" s="45"/>
      <c r="AL337" s="62"/>
      <c r="AM337" s="46"/>
      <c r="AN337" s="46" t="s">
        <v>0</v>
      </c>
      <c r="AO337">
        <v>1</v>
      </c>
      <c r="AP337" s="64"/>
      <c r="AS337" s="65"/>
      <c r="AT337" s="46" t="s">
        <v>0</v>
      </c>
      <c r="AU337" s="46"/>
      <c r="AV337" s="67"/>
      <c r="AW337" s="45"/>
      <c r="AX337" s="40" t="s">
        <v>0</v>
      </c>
      <c r="AY337" s="45"/>
      <c r="AZ337" s="62"/>
      <c r="BA337" s="46"/>
      <c r="BB337" s="46"/>
      <c r="BC337" s="46" t="s">
        <v>0</v>
      </c>
      <c r="BD337" s="64"/>
    </row>
    <row r="338" spans="3:56" ht="12" customHeight="1" x14ac:dyDescent="0.2">
      <c r="C338" s="61"/>
      <c r="D338" s="45" t="s">
        <v>1</v>
      </c>
      <c r="E338" s="45"/>
      <c r="F338" s="67"/>
      <c r="G338" s="45"/>
      <c r="H338" s="38" t="s">
        <v>1</v>
      </c>
      <c r="I338" s="45"/>
      <c r="J338" s="67"/>
      <c r="K338" s="45"/>
      <c r="L338" s="45" t="s">
        <v>1</v>
      </c>
      <c r="M338" s="45"/>
      <c r="N338" s="67"/>
      <c r="O338" s="45"/>
      <c r="P338" s="45"/>
      <c r="Q338" s="61"/>
      <c r="R338" s="45" t="s">
        <v>1</v>
      </c>
      <c r="S338" s="45"/>
      <c r="T338" s="67"/>
      <c r="U338" s="45"/>
      <c r="V338" s="38" t="s">
        <v>1</v>
      </c>
      <c r="W338" s="45">
        <v>1</v>
      </c>
      <c r="X338" s="67"/>
      <c r="Y338" s="45"/>
      <c r="Z338" s="45" t="s">
        <v>1</v>
      </c>
      <c r="AA338" s="45"/>
      <c r="AB338" s="67"/>
      <c r="AC338" s="45"/>
      <c r="AD338" s="45"/>
      <c r="AE338" s="61"/>
      <c r="AF338" s="45" t="s">
        <v>1</v>
      </c>
      <c r="AG338" s="45"/>
      <c r="AH338" s="67"/>
      <c r="AI338" s="45"/>
      <c r="AJ338" s="38" t="s">
        <v>1</v>
      </c>
      <c r="AK338" s="45"/>
      <c r="AL338" s="67"/>
      <c r="AM338" s="45"/>
      <c r="AN338" s="45" t="s">
        <v>1</v>
      </c>
      <c r="AO338">
        <v>1</v>
      </c>
      <c r="AP338" s="67"/>
      <c r="AS338" s="61"/>
      <c r="AT338" s="45" t="s">
        <v>1</v>
      </c>
      <c r="AU338" s="45"/>
      <c r="AV338" s="67"/>
      <c r="AW338" s="45"/>
      <c r="AX338" s="38" t="s">
        <v>1</v>
      </c>
      <c r="AY338" s="45"/>
      <c r="AZ338" s="67"/>
      <c r="BA338" s="45"/>
      <c r="BB338" s="45"/>
      <c r="BC338" s="45" t="s">
        <v>1</v>
      </c>
      <c r="BD338" s="67"/>
    </row>
    <row r="339" spans="3:56" ht="12" customHeight="1" x14ac:dyDescent="0.2">
      <c r="C339" s="61"/>
      <c r="D339" s="45" t="s">
        <v>2</v>
      </c>
      <c r="E339" s="45"/>
      <c r="F339" s="67"/>
      <c r="G339" s="45"/>
      <c r="H339" s="38" t="s">
        <v>2</v>
      </c>
      <c r="I339" s="45"/>
      <c r="J339" s="67"/>
      <c r="K339" s="45"/>
      <c r="L339" s="45" t="s">
        <v>2</v>
      </c>
      <c r="M339" s="45"/>
      <c r="N339" s="67"/>
      <c r="O339" s="45"/>
      <c r="P339" s="45"/>
      <c r="Q339" s="61"/>
      <c r="R339" s="45" t="s">
        <v>2</v>
      </c>
      <c r="S339" s="45"/>
      <c r="T339" s="67"/>
      <c r="U339" s="45"/>
      <c r="V339" s="38" t="s">
        <v>2</v>
      </c>
      <c r="W339" s="45"/>
      <c r="X339" s="67"/>
      <c r="Y339" s="45"/>
      <c r="Z339" s="45" t="s">
        <v>2</v>
      </c>
      <c r="AA339" s="45"/>
      <c r="AB339" s="67"/>
      <c r="AC339" s="45"/>
      <c r="AD339" s="45"/>
      <c r="AE339" s="61"/>
      <c r="AF339" s="45" t="s">
        <v>2</v>
      </c>
      <c r="AG339" s="45"/>
      <c r="AH339" s="67"/>
      <c r="AI339" s="45"/>
      <c r="AJ339" s="38" t="s">
        <v>2</v>
      </c>
      <c r="AK339" s="45"/>
      <c r="AL339" s="67"/>
      <c r="AM339" s="45"/>
      <c r="AN339" s="45" t="s">
        <v>2</v>
      </c>
      <c r="AP339" s="67"/>
      <c r="AS339" s="61"/>
      <c r="AT339" s="45" t="s">
        <v>2</v>
      </c>
      <c r="AU339" s="45"/>
      <c r="AV339" s="67"/>
      <c r="AW339" s="45"/>
      <c r="AX339" s="38" t="s">
        <v>2</v>
      </c>
      <c r="AY339" s="45"/>
      <c r="AZ339" s="67"/>
      <c r="BA339" s="61"/>
      <c r="BB339" s="45"/>
      <c r="BC339" s="45" t="s">
        <v>2</v>
      </c>
      <c r="BD339" s="67"/>
    </row>
    <row r="340" spans="3:56" ht="12" customHeight="1" x14ac:dyDescent="0.2">
      <c r="C340" s="70"/>
      <c r="D340" s="49" t="s">
        <v>3</v>
      </c>
      <c r="E340" s="49"/>
      <c r="F340" s="71"/>
      <c r="G340" s="49"/>
      <c r="H340" s="39" t="s">
        <v>3</v>
      </c>
      <c r="I340" s="49"/>
      <c r="J340" s="71"/>
      <c r="K340" s="49"/>
      <c r="L340" s="49" t="s">
        <v>3</v>
      </c>
      <c r="M340" s="49"/>
      <c r="N340" s="71"/>
      <c r="O340" s="45"/>
      <c r="P340" s="45"/>
      <c r="Q340" s="70"/>
      <c r="R340" s="49" t="s">
        <v>3</v>
      </c>
      <c r="S340" s="49"/>
      <c r="T340" s="71"/>
      <c r="U340" s="49"/>
      <c r="V340" s="39" t="s">
        <v>3</v>
      </c>
      <c r="W340" s="49"/>
      <c r="X340" s="71"/>
      <c r="Y340" s="49"/>
      <c r="Z340" s="49" t="s">
        <v>3</v>
      </c>
      <c r="AA340" s="49"/>
      <c r="AB340" s="71"/>
      <c r="AC340" s="45"/>
      <c r="AD340" s="45"/>
      <c r="AE340" s="70"/>
      <c r="AF340" s="49" t="s">
        <v>3</v>
      </c>
      <c r="AG340" s="49"/>
      <c r="AH340" s="71"/>
      <c r="AI340" s="49"/>
      <c r="AJ340" s="39" t="s">
        <v>3</v>
      </c>
      <c r="AK340" s="49"/>
      <c r="AL340" s="71"/>
      <c r="AM340" s="49"/>
      <c r="AN340" s="49" t="s">
        <v>3</v>
      </c>
      <c r="AO340">
        <v>1</v>
      </c>
      <c r="AP340" s="71"/>
      <c r="AS340" s="70"/>
      <c r="AT340" s="49" t="s">
        <v>3</v>
      </c>
      <c r="AU340" s="49"/>
      <c r="AV340" s="71"/>
      <c r="AW340" s="49"/>
      <c r="AX340" s="39" t="s">
        <v>3</v>
      </c>
      <c r="AY340" s="49"/>
      <c r="AZ340" s="71"/>
      <c r="BA340" s="70"/>
      <c r="BB340" s="49"/>
      <c r="BC340" s="49" t="s">
        <v>3</v>
      </c>
      <c r="BD340" s="71"/>
    </row>
    <row r="341" spans="3:56" ht="12" customHeight="1" x14ac:dyDescent="0.2">
      <c r="C341" s="61"/>
      <c r="D341" s="45" t="s">
        <v>0</v>
      </c>
      <c r="E341" s="67"/>
      <c r="F341" s="45" t="s">
        <v>0</v>
      </c>
      <c r="G341" s="45"/>
      <c r="H341" s="67"/>
      <c r="I341" s="45" t="s">
        <v>0</v>
      </c>
      <c r="J341" s="45"/>
      <c r="K341" s="67"/>
      <c r="L341" s="45" t="s">
        <v>0</v>
      </c>
      <c r="M341" s="45"/>
      <c r="N341" s="67"/>
      <c r="O341" s="45"/>
      <c r="P341" s="45"/>
      <c r="Q341" s="61"/>
      <c r="R341" s="45" t="s">
        <v>0</v>
      </c>
      <c r="S341" s="67"/>
      <c r="T341" s="45" t="s">
        <v>0</v>
      </c>
      <c r="U341" s="45"/>
      <c r="V341" s="67"/>
      <c r="W341" s="45" t="s">
        <v>0</v>
      </c>
      <c r="X341" s="45"/>
      <c r="Y341" s="67"/>
      <c r="Z341" s="45" t="s">
        <v>0</v>
      </c>
      <c r="AA341" s="45"/>
      <c r="AB341" s="67"/>
      <c r="AC341" s="45"/>
      <c r="AD341" s="45"/>
      <c r="AE341" s="61"/>
      <c r="AF341" s="45" t="s">
        <v>0</v>
      </c>
      <c r="AG341" s="67"/>
      <c r="AH341" s="45" t="s">
        <v>0</v>
      </c>
      <c r="AI341" s="45"/>
      <c r="AJ341" s="67"/>
      <c r="AK341" s="45" t="s">
        <v>0</v>
      </c>
      <c r="AL341" s="45"/>
      <c r="AM341" s="67"/>
      <c r="AN341" s="45" t="s">
        <v>0</v>
      </c>
      <c r="AP341" s="67"/>
      <c r="AS341" s="61"/>
      <c r="AT341" s="45" t="s">
        <v>0</v>
      </c>
      <c r="AU341" s="67"/>
      <c r="AV341" s="45" t="s">
        <v>0</v>
      </c>
      <c r="AW341" s="45"/>
      <c r="AX341" s="67"/>
      <c r="AY341" s="45" t="s">
        <v>0</v>
      </c>
      <c r="AZ341" s="45"/>
      <c r="BA341" s="67"/>
      <c r="BB341" s="61"/>
      <c r="BC341" s="45" t="s">
        <v>0</v>
      </c>
      <c r="BD341" s="67"/>
    </row>
    <row r="342" spans="3:56" ht="12" customHeight="1" x14ac:dyDescent="0.2">
      <c r="C342" s="61"/>
      <c r="D342" s="45" t="s">
        <v>1</v>
      </c>
      <c r="E342" s="67"/>
      <c r="F342" s="45" t="s">
        <v>1</v>
      </c>
      <c r="G342" s="45"/>
      <c r="H342" s="67"/>
      <c r="I342" s="45" t="s">
        <v>1</v>
      </c>
      <c r="J342" s="45"/>
      <c r="K342" s="67"/>
      <c r="L342" s="45" t="s">
        <v>1</v>
      </c>
      <c r="M342" s="45"/>
      <c r="N342" s="67"/>
      <c r="O342" s="45"/>
      <c r="P342" s="45"/>
      <c r="Q342" s="61"/>
      <c r="R342" s="45" t="s">
        <v>1</v>
      </c>
      <c r="S342" s="67"/>
      <c r="T342" s="45" t="s">
        <v>1</v>
      </c>
      <c r="U342" s="45"/>
      <c r="V342" s="67"/>
      <c r="W342" s="45" t="s">
        <v>1</v>
      </c>
      <c r="X342" s="45"/>
      <c r="Y342" s="67"/>
      <c r="Z342" s="45" t="s">
        <v>1</v>
      </c>
      <c r="AA342" s="45"/>
      <c r="AB342" s="67"/>
      <c r="AC342" s="45"/>
      <c r="AD342" s="45"/>
      <c r="AE342" s="61"/>
      <c r="AF342" s="45" t="s">
        <v>1</v>
      </c>
      <c r="AG342" s="67"/>
      <c r="AH342" s="45" t="s">
        <v>1</v>
      </c>
      <c r="AI342" s="45"/>
      <c r="AJ342" s="67"/>
      <c r="AK342" s="45" t="s">
        <v>1</v>
      </c>
      <c r="AL342" s="45"/>
      <c r="AM342" s="67"/>
      <c r="AN342" s="45" t="s">
        <v>1</v>
      </c>
      <c r="AP342" s="67"/>
      <c r="AS342" s="61"/>
      <c r="AT342" s="45" t="s">
        <v>1</v>
      </c>
      <c r="AU342" s="67"/>
      <c r="AV342" s="45" t="s">
        <v>1</v>
      </c>
      <c r="AW342" s="45"/>
      <c r="AX342" s="67"/>
      <c r="AY342" s="45" t="s">
        <v>1</v>
      </c>
      <c r="AZ342" s="45"/>
      <c r="BA342" s="67"/>
      <c r="BB342" s="61"/>
      <c r="BC342" s="45" t="s">
        <v>1</v>
      </c>
      <c r="BD342" s="67"/>
    </row>
    <row r="343" spans="3:56" ht="12" customHeight="1" x14ac:dyDescent="0.2">
      <c r="C343" s="61"/>
      <c r="D343" s="45" t="s">
        <v>2</v>
      </c>
      <c r="E343" s="67"/>
      <c r="F343" s="45" t="s">
        <v>2</v>
      </c>
      <c r="G343" s="45"/>
      <c r="H343" s="67"/>
      <c r="I343" s="45" t="s">
        <v>2</v>
      </c>
      <c r="J343" s="45"/>
      <c r="K343" s="67"/>
      <c r="L343" s="45" t="s">
        <v>2</v>
      </c>
      <c r="M343" s="45"/>
      <c r="N343" s="67"/>
      <c r="O343" s="45"/>
      <c r="P343" s="45"/>
      <c r="Q343" s="61"/>
      <c r="R343" s="45" t="s">
        <v>2</v>
      </c>
      <c r="S343" s="67"/>
      <c r="T343" s="45" t="s">
        <v>2</v>
      </c>
      <c r="U343" s="45"/>
      <c r="V343" s="67"/>
      <c r="W343" s="45" t="s">
        <v>2</v>
      </c>
      <c r="X343" s="45"/>
      <c r="Y343" s="67"/>
      <c r="Z343" s="45" t="s">
        <v>2</v>
      </c>
      <c r="AA343" s="45"/>
      <c r="AB343" s="67"/>
      <c r="AC343" s="45"/>
      <c r="AD343" s="45"/>
      <c r="AE343" s="61"/>
      <c r="AF343" s="45" t="s">
        <v>2</v>
      </c>
      <c r="AG343" s="67"/>
      <c r="AH343" s="45" t="s">
        <v>2</v>
      </c>
      <c r="AI343" s="45"/>
      <c r="AJ343" s="67"/>
      <c r="AK343" s="45" t="s">
        <v>2</v>
      </c>
      <c r="AL343" s="45"/>
      <c r="AM343" s="67"/>
      <c r="AN343" s="45" t="s">
        <v>2</v>
      </c>
      <c r="AP343" s="67"/>
      <c r="AS343" s="61"/>
      <c r="AT343" s="45" t="s">
        <v>2</v>
      </c>
      <c r="AU343" s="67"/>
      <c r="AV343" s="45" t="s">
        <v>2</v>
      </c>
      <c r="AW343" s="45"/>
      <c r="AX343" s="67"/>
      <c r="AY343" s="45" t="s">
        <v>2</v>
      </c>
      <c r="AZ343" s="45"/>
      <c r="BA343" s="67"/>
      <c r="BB343" s="61"/>
      <c r="BC343" s="45" t="s">
        <v>2</v>
      </c>
      <c r="BD343" s="67"/>
    </row>
    <row r="344" spans="3:56" ht="12" customHeight="1" x14ac:dyDescent="0.2">
      <c r="C344" s="70"/>
      <c r="D344" s="49" t="s">
        <v>3</v>
      </c>
      <c r="E344" s="71"/>
      <c r="F344" s="49" t="s">
        <v>3</v>
      </c>
      <c r="G344" s="49"/>
      <c r="H344" s="71"/>
      <c r="I344" s="49" t="s">
        <v>3</v>
      </c>
      <c r="J344" s="49"/>
      <c r="K344" s="71"/>
      <c r="L344" s="49" t="s">
        <v>3</v>
      </c>
      <c r="M344" s="49"/>
      <c r="N344" s="71"/>
      <c r="O344" s="45"/>
      <c r="P344" s="45"/>
      <c r="Q344" s="70"/>
      <c r="R344" s="49" t="s">
        <v>3</v>
      </c>
      <c r="S344" s="71"/>
      <c r="T344" s="49" t="s">
        <v>3</v>
      </c>
      <c r="U344" s="49"/>
      <c r="V344" s="71"/>
      <c r="W344" s="49" t="s">
        <v>3</v>
      </c>
      <c r="X344" s="49"/>
      <c r="Y344" s="71"/>
      <c r="Z344" s="49" t="s">
        <v>3</v>
      </c>
      <c r="AA344" s="49"/>
      <c r="AB344" s="71"/>
      <c r="AC344" s="45"/>
      <c r="AD344" s="45"/>
      <c r="AE344" s="70"/>
      <c r="AF344" s="49" t="s">
        <v>3</v>
      </c>
      <c r="AG344" s="71"/>
      <c r="AH344" s="49" t="s">
        <v>3</v>
      </c>
      <c r="AI344" s="49"/>
      <c r="AJ344" s="71"/>
      <c r="AK344" s="49" t="s">
        <v>3</v>
      </c>
      <c r="AL344" s="49"/>
      <c r="AM344" s="71"/>
      <c r="AN344" s="49" t="s">
        <v>3</v>
      </c>
      <c r="AP344" s="71"/>
      <c r="AS344" s="70"/>
      <c r="AT344" s="49" t="s">
        <v>3</v>
      </c>
      <c r="AU344" s="71"/>
      <c r="AV344" s="49" t="s">
        <v>3</v>
      </c>
      <c r="AW344" s="49"/>
      <c r="AX344" s="71"/>
      <c r="AY344" s="49" t="s">
        <v>3</v>
      </c>
      <c r="AZ344" s="49"/>
      <c r="BA344" s="71"/>
      <c r="BB344" s="70"/>
      <c r="BC344" s="49" t="s">
        <v>3</v>
      </c>
      <c r="BD344" s="71"/>
    </row>
    <row r="345" spans="3:56" ht="12" customHeight="1" x14ac:dyDescent="0.2"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38"/>
      <c r="Z345" s="38"/>
      <c r="AA345" s="38"/>
      <c r="AB345" s="38"/>
      <c r="AC345" s="38"/>
      <c r="AD345" s="38"/>
      <c r="AE345" s="38"/>
      <c r="AF345" s="38"/>
      <c r="AG345" s="38"/>
      <c r="AH345" s="38"/>
      <c r="AI345" s="38"/>
      <c r="AJ345" s="38"/>
      <c r="AK345" s="38"/>
      <c r="AL345" s="38"/>
      <c r="AM345" s="38"/>
      <c r="AN345" s="38"/>
      <c r="AP345" s="38"/>
      <c r="AS345" s="38"/>
      <c r="AT345" s="38"/>
      <c r="AU345" s="38"/>
      <c r="AV345" s="38"/>
      <c r="AW345" s="38"/>
      <c r="AX345" s="38"/>
      <c r="AY345" s="38"/>
      <c r="AZ345" s="38"/>
      <c r="BA345" s="38"/>
      <c r="BB345" s="38"/>
      <c r="BC345" s="38"/>
      <c r="BD345" s="38"/>
    </row>
    <row r="346" spans="3:56" ht="12" customHeight="1" x14ac:dyDescent="0.2">
      <c r="C346" s="132" t="s">
        <v>138</v>
      </c>
      <c r="D346" s="132"/>
      <c r="E346" s="132"/>
      <c r="F346" s="132"/>
      <c r="G346" s="132"/>
      <c r="H346" s="43"/>
      <c r="I346" s="43"/>
      <c r="J346" s="43"/>
      <c r="K346" s="43"/>
      <c r="L346" s="43"/>
      <c r="M346" s="43"/>
      <c r="N346" s="43"/>
      <c r="O346" s="44"/>
      <c r="P346" s="44"/>
      <c r="Q346" s="44"/>
      <c r="R346" s="44"/>
      <c r="S346" s="44"/>
      <c r="T346" s="44"/>
      <c r="U346" s="44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44"/>
      <c r="AJ346" s="44"/>
      <c r="AK346" s="44"/>
      <c r="AL346" s="44"/>
      <c r="AM346" s="44"/>
      <c r="AN346" s="44"/>
      <c r="AP346" s="44"/>
      <c r="AS346" s="44"/>
      <c r="AT346" s="44"/>
      <c r="AU346" s="44"/>
      <c r="AV346" s="44"/>
      <c r="AW346" s="44"/>
      <c r="AX346" s="44"/>
      <c r="AY346" s="44"/>
      <c r="AZ346" s="44"/>
      <c r="BA346" s="44"/>
      <c r="BB346" s="44"/>
      <c r="BC346" s="44"/>
      <c r="BD346" s="44"/>
    </row>
    <row r="347" spans="3:56" ht="12" customHeight="1" x14ac:dyDescent="0.2">
      <c r="C347" s="133"/>
      <c r="D347" s="133"/>
      <c r="E347" s="133"/>
      <c r="F347" s="133"/>
      <c r="G347" s="133"/>
      <c r="H347" s="44"/>
      <c r="I347" s="44"/>
      <c r="J347" s="44"/>
      <c r="K347" s="44"/>
      <c r="L347" s="44"/>
      <c r="M347" s="44"/>
      <c r="N347" s="44"/>
      <c r="O347" s="44"/>
      <c r="P347" s="44"/>
      <c r="Q347" s="44"/>
      <c r="R347" s="44"/>
      <c r="S347" s="44"/>
      <c r="T347" s="44"/>
      <c r="U347" s="44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44"/>
      <c r="AJ347" s="44"/>
      <c r="AK347" s="44"/>
      <c r="AL347" s="44"/>
      <c r="AM347" s="44"/>
      <c r="AN347" s="44"/>
      <c r="AP347" s="44"/>
      <c r="AS347" s="44"/>
      <c r="AT347" s="44"/>
      <c r="AU347" s="44"/>
      <c r="AV347" s="44"/>
      <c r="AW347" s="44"/>
      <c r="AX347" s="44"/>
      <c r="AY347" s="44"/>
      <c r="AZ347" s="44"/>
      <c r="BA347" s="44"/>
      <c r="BB347" s="44"/>
      <c r="BC347" s="44"/>
      <c r="BD347" s="44"/>
    </row>
    <row r="348" spans="3:56" ht="12" customHeight="1" thickBot="1" x14ac:dyDescent="0.25">
      <c r="C348" s="61"/>
      <c r="D348" s="45" t="s">
        <v>0</v>
      </c>
      <c r="E348" s="45">
        <v>1</v>
      </c>
      <c r="F348" s="62"/>
      <c r="G348" s="45"/>
      <c r="H348" s="46" t="s">
        <v>0</v>
      </c>
      <c r="I348" s="46"/>
      <c r="J348" s="63"/>
      <c r="K348" s="46"/>
      <c r="L348" s="46" t="s">
        <v>0</v>
      </c>
      <c r="M348" s="46"/>
      <c r="N348" s="64"/>
      <c r="O348" s="45"/>
      <c r="P348" s="45"/>
      <c r="Q348" s="65"/>
      <c r="R348" s="46" t="s">
        <v>0</v>
      </c>
      <c r="S348" s="46"/>
      <c r="T348" s="63"/>
      <c r="U348" s="46"/>
      <c r="V348" s="46" t="s">
        <v>0</v>
      </c>
      <c r="W348" s="46"/>
      <c r="X348" s="63"/>
      <c r="Y348" s="46"/>
      <c r="Z348" s="46" t="s">
        <v>0</v>
      </c>
      <c r="AA348" s="46"/>
      <c r="AB348" s="64"/>
      <c r="AC348" s="45"/>
      <c r="AD348" s="45"/>
      <c r="AE348" s="65"/>
      <c r="AF348" s="46" t="s">
        <v>0</v>
      </c>
      <c r="AG348" s="46"/>
      <c r="AH348" s="63"/>
      <c r="AI348" s="46"/>
      <c r="AJ348" s="46" t="s">
        <v>0</v>
      </c>
      <c r="AK348" s="46"/>
      <c r="AL348" s="63"/>
      <c r="AM348" s="81"/>
      <c r="AN348" s="46" t="s">
        <v>0</v>
      </c>
      <c r="AP348" s="64"/>
      <c r="AQ348" s="38"/>
      <c r="AS348" s="65"/>
      <c r="AT348" s="46" t="s">
        <v>0</v>
      </c>
      <c r="AU348" s="46"/>
      <c r="AV348" s="63"/>
      <c r="AW348" s="46"/>
      <c r="AX348" s="46" t="s">
        <v>0</v>
      </c>
      <c r="AY348" s="46"/>
      <c r="AZ348" s="63"/>
      <c r="BA348" s="46"/>
      <c r="BB348" s="46"/>
      <c r="BC348" s="46" t="s">
        <v>0</v>
      </c>
      <c r="BD348" s="64"/>
    </row>
    <row r="349" spans="3:56" ht="12" customHeight="1" x14ac:dyDescent="0.2">
      <c r="C349" s="61"/>
      <c r="D349" s="45" t="s">
        <v>1</v>
      </c>
      <c r="E349" s="45"/>
      <c r="F349" s="62"/>
      <c r="G349" s="47"/>
      <c r="H349" s="47" t="s">
        <v>1</v>
      </c>
      <c r="I349" s="47"/>
      <c r="J349" s="66"/>
      <c r="K349" s="45"/>
      <c r="L349" s="45" t="s">
        <v>1</v>
      </c>
      <c r="M349" s="45"/>
      <c r="N349" s="67"/>
      <c r="O349" s="45"/>
      <c r="P349" s="45"/>
      <c r="Q349" s="61"/>
      <c r="R349" s="45" t="s">
        <v>1</v>
      </c>
      <c r="S349" s="45"/>
      <c r="T349" s="62"/>
      <c r="U349" s="47"/>
      <c r="V349" s="47" t="s">
        <v>1</v>
      </c>
      <c r="W349" s="47"/>
      <c r="X349" s="66"/>
      <c r="Y349" s="45"/>
      <c r="Z349" s="45" t="s">
        <v>1</v>
      </c>
      <c r="AA349" s="45"/>
      <c r="AB349" s="67"/>
      <c r="AC349" s="45"/>
      <c r="AD349" s="45"/>
      <c r="AE349" s="61"/>
      <c r="AF349" s="45" t="s">
        <v>1</v>
      </c>
      <c r="AG349" s="45"/>
      <c r="AH349" s="62"/>
      <c r="AI349" s="47"/>
      <c r="AJ349" s="47" t="s">
        <v>1</v>
      </c>
      <c r="AK349" s="47"/>
      <c r="AL349" s="66"/>
      <c r="AM349" s="82"/>
      <c r="AN349" s="45" t="s">
        <v>1</v>
      </c>
      <c r="AP349" s="67"/>
      <c r="AQ349" s="38"/>
      <c r="AS349" s="61"/>
      <c r="AT349" s="45" t="s">
        <v>1</v>
      </c>
      <c r="AU349" s="45"/>
      <c r="AV349" s="62"/>
      <c r="AW349" s="47"/>
      <c r="AX349" s="47" t="s">
        <v>1</v>
      </c>
      <c r="AY349" s="47"/>
      <c r="AZ349" s="66"/>
      <c r="BA349" s="82"/>
      <c r="BB349" s="45"/>
      <c r="BC349" s="45" t="s">
        <v>1</v>
      </c>
      <c r="BD349" s="67"/>
    </row>
    <row r="350" spans="3:56" ht="12" customHeight="1" x14ac:dyDescent="0.2">
      <c r="C350" s="61"/>
      <c r="D350" s="45" t="s">
        <v>2</v>
      </c>
      <c r="E350" s="45"/>
      <c r="F350" s="62"/>
      <c r="G350" s="45"/>
      <c r="H350" s="45" t="s">
        <v>2</v>
      </c>
      <c r="I350" s="45"/>
      <c r="J350" s="62"/>
      <c r="K350" s="45"/>
      <c r="L350" s="45" t="s">
        <v>2</v>
      </c>
      <c r="M350" s="45"/>
      <c r="N350" s="67"/>
      <c r="O350" s="45"/>
      <c r="P350" s="45"/>
      <c r="Q350" s="61"/>
      <c r="R350" s="45" t="s">
        <v>2</v>
      </c>
      <c r="S350" s="45"/>
      <c r="T350" s="62"/>
      <c r="U350" s="45"/>
      <c r="V350" s="45" t="s">
        <v>2</v>
      </c>
      <c r="W350" s="45"/>
      <c r="X350" s="62"/>
      <c r="Y350" s="45"/>
      <c r="Z350" s="45" t="s">
        <v>2</v>
      </c>
      <c r="AA350" s="45"/>
      <c r="AB350" s="67"/>
      <c r="AC350" s="45"/>
      <c r="AD350" s="45"/>
      <c r="AE350" s="61"/>
      <c r="AF350" s="45" t="s">
        <v>2</v>
      </c>
      <c r="AG350" s="45"/>
      <c r="AH350" s="62"/>
      <c r="AI350" s="45"/>
      <c r="AJ350" s="45" t="s">
        <v>2</v>
      </c>
      <c r="AK350" s="45"/>
      <c r="AL350" s="62"/>
      <c r="AM350" s="82"/>
      <c r="AN350" s="45" t="s">
        <v>2</v>
      </c>
      <c r="AP350" s="67"/>
      <c r="AQ350" s="38"/>
      <c r="AS350" s="61"/>
      <c r="AT350" s="45" t="s">
        <v>2</v>
      </c>
      <c r="AU350" s="45"/>
      <c r="AV350" s="62"/>
      <c r="AW350" s="45"/>
      <c r="AX350" s="45" t="s">
        <v>2</v>
      </c>
      <c r="AY350" s="45"/>
      <c r="AZ350" s="62"/>
      <c r="BA350" s="82"/>
      <c r="BB350" s="45"/>
      <c r="BC350" s="45" t="s">
        <v>2</v>
      </c>
      <c r="BD350" s="67"/>
    </row>
    <row r="351" spans="3:56" ht="12" customHeight="1" thickBot="1" x14ac:dyDescent="0.25">
      <c r="C351" s="61"/>
      <c r="D351" s="45" t="s">
        <v>3</v>
      </c>
      <c r="E351" s="45"/>
      <c r="F351" s="68"/>
      <c r="G351" s="48"/>
      <c r="H351" s="48" t="s">
        <v>3</v>
      </c>
      <c r="I351" s="48"/>
      <c r="J351" s="69"/>
      <c r="K351" s="45"/>
      <c r="L351" s="45" t="s">
        <v>3</v>
      </c>
      <c r="M351" s="45"/>
      <c r="N351" s="67"/>
      <c r="O351" s="45"/>
      <c r="P351" s="45"/>
      <c r="Q351" s="61"/>
      <c r="R351" s="45" t="s">
        <v>3</v>
      </c>
      <c r="S351" s="45"/>
      <c r="T351" s="68"/>
      <c r="U351" s="48"/>
      <c r="V351" s="48" t="s">
        <v>3</v>
      </c>
      <c r="W351" s="48"/>
      <c r="X351" s="69"/>
      <c r="Y351" s="45"/>
      <c r="Z351" s="45" t="s">
        <v>3</v>
      </c>
      <c r="AA351" s="45"/>
      <c r="AB351" s="67"/>
      <c r="AC351" s="45"/>
      <c r="AD351" s="45"/>
      <c r="AE351" s="61"/>
      <c r="AF351" s="45" t="s">
        <v>3</v>
      </c>
      <c r="AG351" s="45"/>
      <c r="AH351" s="68"/>
      <c r="AI351" s="48"/>
      <c r="AJ351" s="48" t="s">
        <v>3</v>
      </c>
      <c r="AK351" s="48"/>
      <c r="AL351" s="69"/>
      <c r="AM351" s="45"/>
      <c r="AN351" s="45" t="s">
        <v>3</v>
      </c>
      <c r="AP351" s="67"/>
      <c r="AQ351" s="38"/>
      <c r="AS351" s="61"/>
      <c r="AT351" s="45" t="s">
        <v>3</v>
      </c>
      <c r="AU351" s="45"/>
      <c r="AV351" s="68"/>
      <c r="AW351" s="48"/>
      <c r="AX351" s="48" t="s">
        <v>3</v>
      </c>
      <c r="AY351" s="48"/>
      <c r="AZ351" s="69"/>
      <c r="BA351" s="83"/>
      <c r="BB351" s="45"/>
      <c r="BC351" s="45" t="s">
        <v>3</v>
      </c>
      <c r="BD351" s="67"/>
    </row>
    <row r="352" spans="3:56" ht="12" customHeight="1" x14ac:dyDescent="0.2">
      <c r="C352" s="65"/>
      <c r="D352" s="46" t="s">
        <v>0</v>
      </c>
      <c r="E352" s="46"/>
      <c r="F352" s="67"/>
      <c r="G352" s="45"/>
      <c r="H352" s="40" t="s">
        <v>0</v>
      </c>
      <c r="I352" s="45">
        <v>1</v>
      </c>
      <c r="J352" s="62"/>
      <c r="K352" s="46"/>
      <c r="L352" s="46" t="s">
        <v>0</v>
      </c>
      <c r="M352" s="46"/>
      <c r="N352" s="64"/>
      <c r="O352" s="45"/>
      <c r="P352" s="45"/>
      <c r="Q352" s="65"/>
      <c r="R352" s="46" t="s">
        <v>0</v>
      </c>
      <c r="S352" s="46"/>
      <c r="T352" s="67"/>
      <c r="U352" s="45"/>
      <c r="V352" s="40" t="s">
        <v>0</v>
      </c>
      <c r="W352" s="45"/>
      <c r="X352" s="62"/>
      <c r="Y352" s="46"/>
      <c r="Z352" s="46" t="s">
        <v>0</v>
      </c>
      <c r="AA352" s="46"/>
      <c r="AB352" s="64"/>
      <c r="AC352" s="45"/>
      <c r="AD352" s="45"/>
      <c r="AE352" s="65"/>
      <c r="AF352" s="46" t="s">
        <v>0</v>
      </c>
      <c r="AG352" s="46"/>
      <c r="AH352" s="67"/>
      <c r="AI352" s="45"/>
      <c r="AJ352" s="40" t="s">
        <v>0</v>
      </c>
      <c r="AK352" s="45"/>
      <c r="AL352" s="62"/>
      <c r="AM352" s="46"/>
      <c r="AN352" s="46" t="s">
        <v>0</v>
      </c>
      <c r="AP352" s="64"/>
      <c r="AQ352" s="38"/>
      <c r="AS352" s="65"/>
      <c r="AT352" s="46" t="s">
        <v>0</v>
      </c>
      <c r="AU352" s="46"/>
      <c r="AV352" s="67"/>
      <c r="AW352" s="45"/>
      <c r="AX352" s="40" t="s">
        <v>0</v>
      </c>
      <c r="AY352" s="45"/>
      <c r="AZ352" s="62"/>
      <c r="BA352" s="46"/>
      <c r="BB352" s="46"/>
      <c r="BC352" s="46" t="s">
        <v>0</v>
      </c>
      <c r="BD352" s="64"/>
    </row>
    <row r="353" spans="3:56" ht="12" customHeight="1" x14ac:dyDescent="0.2">
      <c r="C353" s="61"/>
      <c r="D353" s="45" t="s">
        <v>1</v>
      </c>
      <c r="E353" s="45"/>
      <c r="F353" s="67"/>
      <c r="G353" s="45"/>
      <c r="H353" s="38" t="s">
        <v>1</v>
      </c>
      <c r="I353" s="45"/>
      <c r="J353" s="67"/>
      <c r="K353" s="45"/>
      <c r="L353" s="45" t="s">
        <v>1</v>
      </c>
      <c r="M353" s="45"/>
      <c r="N353" s="67"/>
      <c r="O353" s="45"/>
      <c r="P353" s="45"/>
      <c r="Q353" s="61"/>
      <c r="R353" s="45" t="s">
        <v>1</v>
      </c>
      <c r="S353" s="45"/>
      <c r="T353" s="67"/>
      <c r="U353" s="45"/>
      <c r="V353" s="38" t="s">
        <v>1</v>
      </c>
      <c r="W353" s="45"/>
      <c r="X353" s="67"/>
      <c r="Y353" s="45"/>
      <c r="Z353" s="45" t="s">
        <v>1</v>
      </c>
      <c r="AA353" s="45"/>
      <c r="AB353" s="67"/>
      <c r="AC353" s="45"/>
      <c r="AD353" s="45"/>
      <c r="AE353" s="61"/>
      <c r="AF353" s="45" t="s">
        <v>1</v>
      </c>
      <c r="AG353" s="45"/>
      <c r="AH353" s="67"/>
      <c r="AI353" s="45"/>
      <c r="AJ353" s="38" t="s">
        <v>1</v>
      </c>
      <c r="AK353" s="45"/>
      <c r="AL353" s="67"/>
      <c r="AM353" s="45"/>
      <c r="AN353" s="45" t="s">
        <v>1</v>
      </c>
      <c r="AP353" s="67"/>
      <c r="AQ353" s="38"/>
      <c r="AS353" s="61"/>
      <c r="AT353" s="45" t="s">
        <v>1</v>
      </c>
      <c r="AU353" s="45"/>
      <c r="AV353" s="67"/>
      <c r="AW353" s="45"/>
      <c r="AX353" s="38" t="s">
        <v>1</v>
      </c>
      <c r="AY353" s="45"/>
      <c r="AZ353" s="67"/>
      <c r="BA353" s="45"/>
      <c r="BB353" s="45"/>
      <c r="BC353" s="45" t="s">
        <v>1</v>
      </c>
      <c r="BD353" s="67"/>
    </row>
    <row r="354" spans="3:56" ht="12" customHeight="1" x14ac:dyDescent="0.2">
      <c r="C354" s="61"/>
      <c r="D354" s="45" t="s">
        <v>2</v>
      </c>
      <c r="E354" s="45"/>
      <c r="F354" s="67"/>
      <c r="G354" s="45"/>
      <c r="H354" s="38" t="s">
        <v>2</v>
      </c>
      <c r="I354" s="45"/>
      <c r="J354" s="67"/>
      <c r="K354" s="45"/>
      <c r="L354" s="45" t="s">
        <v>2</v>
      </c>
      <c r="M354" s="45"/>
      <c r="N354" s="67"/>
      <c r="O354" s="45"/>
      <c r="P354" s="45"/>
      <c r="Q354" s="61"/>
      <c r="R354" s="45" t="s">
        <v>2</v>
      </c>
      <c r="S354" s="45"/>
      <c r="T354" s="67"/>
      <c r="U354" s="45"/>
      <c r="V354" s="38" t="s">
        <v>2</v>
      </c>
      <c r="W354" s="45"/>
      <c r="X354" s="67"/>
      <c r="Y354" s="45"/>
      <c r="Z354" s="45" t="s">
        <v>2</v>
      </c>
      <c r="AA354" s="45"/>
      <c r="AB354" s="67"/>
      <c r="AC354" s="45"/>
      <c r="AD354" s="45"/>
      <c r="AE354" s="61"/>
      <c r="AF354" s="45" t="s">
        <v>2</v>
      </c>
      <c r="AG354" s="45"/>
      <c r="AH354" s="67"/>
      <c r="AI354" s="45"/>
      <c r="AJ354" s="38" t="s">
        <v>2</v>
      </c>
      <c r="AK354" s="45"/>
      <c r="AL354" s="67"/>
      <c r="AM354" s="45"/>
      <c r="AN354" s="45" t="s">
        <v>2</v>
      </c>
      <c r="AP354" s="67"/>
      <c r="AQ354" s="38"/>
      <c r="AS354" s="61"/>
      <c r="AT354" s="45" t="s">
        <v>2</v>
      </c>
      <c r="AU354" s="45"/>
      <c r="AV354" s="67"/>
      <c r="AW354" s="45"/>
      <c r="AX354" s="38" t="s">
        <v>2</v>
      </c>
      <c r="AY354" s="45"/>
      <c r="AZ354" s="67"/>
      <c r="BA354" s="45"/>
      <c r="BB354" s="45"/>
      <c r="BC354" s="45" t="s">
        <v>2</v>
      </c>
      <c r="BD354" s="67"/>
    </row>
    <row r="355" spans="3:56" ht="12" customHeight="1" x14ac:dyDescent="0.2">
      <c r="C355" s="70"/>
      <c r="D355" s="49" t="s">
        <v>3</v>
      </c>
      <c r="E355" s="49"/>
      <c r="F355" s="71"/>
      <c r="G355" s="49"/>
      <c r="H355" s="39" t="s">
        <v>3</v>
      </c>
      <c r="I355" s="49"/>
      <c r="J355" s="71"/>
      <c r="K355" s="49"/>
      <c r="L355" s="49" t="s">
        <v>3</v>
      </c>
      <c r="M355" s="49"/>
      <c r="N355" s="71"/>
      <c r="O355" s="45"/>
      <c r="P355" s="45"/>
      <c r="Q355" s="70"/>
      <c r="R355" s="49" t="s">
        <v>3</v>
      </c>
      <c r="S355" s="49"/>
      <c r="T355" s="71"/>
      <c r="U355" s="49"/>
      <c r="V355" s="39" t="s">
        <v>3</v>
      </c>
      <c r="W355" s="49"/>
      <c r="X355" s="71"/>
      <c r="Y355" s="49"/>
      <c r="Z355" s="49" t="s">
        <v>3</v>
      </c>
      <c r="AA355" s="49"/>
      <c r="AB355" s="71"/>
      <c r="AC355" s="45"/>
      <c r="AD355" s="45"/>
      <c r="AE355" s="70"/>
      <c r="AF355" s="49" t="s">
        <v>3</v>
      </c>
      <c r="AG355" s="49"/>
      <c r="AH355" s="71"/>
      <c r="AI355" s="49"/>
      <c r="AJ355" s="39" t="s">
        <v>3</v>
      </c>
      <c r="AK355" s="49"/>
      <c r="AL355" s="71"/>
      <c r="AM355" s="49"/>
      <c r="AN355" s="49" t="s">
        <v>3</v>
      </c>
      <c r="AP355" s="71"/>
      <c r="AQ355" s="38"/>
      <c r="AS355" s="70"/>
      <c r="AT355" s="49" t="s">
        <v>3</v>
      </c>
      <c r="AU355" s="49"/>
      <c r="AV355" s="71"/>
      <c r="AW355" s="49"/>
      <c r="AX355" s="39" t="s">
        <v>3</v>
      </c>
      <c r="AY355" s="49"/>
      <c r="AZ355" s="71"/>
      <c r="BA355" s="49"/>
      <c r="BB355" s="49"/>
      <c r="BC355" s="49" t="s">
        <v>3</v>
      </c>
      <c r="BD355" s="71"/>
    </row>
    <row r="356" spans="3:56" ht="12" customHeight="1" x14ac:dyDescent="0.2">
      <c r="C356" s="61"/>
      <c r="D356" s="45" t="s">
        <v>0</v>
      </c>
      <c r="E356" s="67"/>
      <c r="F356" s="45" t="s">
        <v>0</v>
      </c>
      <c r="G356" s="45"/>
      <c r="H356" s="67"/>
      <c r="I356" s="45" t="s">
        <v>0</v>
      </c>
      <c r="J356" s="45"/>
      <c r="K356" s="67"/>
      <c r="L356" s="45" t="s">
        <v>0</v>
      </c>
      <c r="M356" s="45"/>
      <c r="N356" s="67"/>
      <c r="O356" s="45"/>
      <c r="P356" s="45"/>
      <c r="Q356" s="61"/>
      <c r="R356" s="45" t="s">
        <v>0</v>
      </c>
      <c r="S356" s="67"/>
      <c r="T356" s="45" t="s">
        <v>0</v>
      </c>
      <c r="U356" s="45"/>
      <c r="V356" s="67"/>
      <c r="W356" s="45" t="s">
        <v>0</v>
      </c>
      <c r="X356" s="45"/>
      <c r="Y356" s="67"/>
      <c r="Z356" s="45" t="s">
        <v>0</v>
      </c>
      <c r="AA356" s="45"/>
      <c r="AB356" s="67"/>
      <c r="AC356" s="45"/>
      <c r="AD356" s="45"/>
      <c r="AE356" s="61"/>
      <c r="AF356" s="45" t="s">
        <v>0</v>
      </c>
      <c r="AG356" s="67"/>
      <c r="AH356" s="45" t="s">
        <v>0</v>
      </c>
      <c r="AI356" s="45"/>
      <c r="AJ356" s="67"/>
      <c r="AK356" s="45" t="s">
        <v>0</v>
      </c>
      <c r="AL356" s="45"/>
      <c r="AM356" s="67"/>
      <c r="AN356" s="45" t="s">
        <v>0</v>
      </c>
      <c r="AP356" s="67"/>
      <c r="AQ356" s="38"/>
      <c r="AS356" s="61"/>
      <c r="AT356" s="45" t="s">
        <v>0</v>
      </c>
      <c r="AU356" s="67"/>
      <c r="AV356" s="45" t="s">
        <v>0</v>
      </c>
      <c r="AW356" s="45"/>
      <c r="AX356" s="67"/>
      <c r="AY356" s="45" t="s">
        <v>0</v>
      </c>
      <c r="AZ356" s="45"/>
      <c r="BA356" s="67"/>
      <c r="BB356" s="61"/>
      <c r="BC356" s="45" t="s">
        <v>0</v>
      </c>
      <c r="BD356" s="67"/>
    </row>
    <row r="357" spans="3:56" ht="12" customHeight="1" x14ac:dyDescent="0.2">
      <c r="C357" s="61"/>
      <c r="D357" s="45" t="s">
        <v>1</v>
      </c>
      <c r="E357" s="67"/>
      <c r="F357" s="45" t="s">
        <v>1</v>
      </c>
      <c r="G357" s="45"/>
      <c r="H357" s="67"/>
      <c r="I357" s="45" t="s">
        <v>1</v>
      </c>
      <c r="J357" s="45"/>
      <c r="K357" s="67"/>
      <c r="L357" s="45" t="s">
        <v>1</v>
      </c>
      <c r="M357" s="45"/>
      <c r="N357" s="67"/>
      <c r="O357" s="45"/>
      <c r="P357" s="45"/>
      <c r="Q357" s="61"/>
      <c r="R357" s="45" t="s">
        <v>1</v>
      </c>
      <c r="S357" s="67"/>
      <c r="T357" s="45" t="s">
        <v>1</v>
      </c>
      <c r="U357" s="45"/>
      <c r="V357" s="67"/>
      <c r="W357" s="45" t="s">
        <v>1</v>
      </c>
      <c r="X357" s="45"/>
      <c r="Y357" s="67"/>
      <c r="Z357" s="45" t="s">
        <v>1</v>
      </c>
      <c r="AA357" s="45"/>
      <c r="AB357" s="67"/>
      <c r="AC357" s="45"/>
      <c r="AD357" s="45"/>
      <c r="AE357" s="61"/>
      <c r="AF357" s="45" t="s">
        <v>1</v>
      </c>
      <c r="AG357" s="67"/>
      <c r="AH357" s="45" t="s">
        <v>1</v>
      </c>
      <c r="AI357" s="45"/>
      <c r="AJ357" s="67"/>
      <c r="AK357" s="45" t="s">
        <v>1</v>
      </c>
      <c r="AL357" s="45"/>
      <c r="AM357" s="67"/>
      <c r="AN357" s="45" t="s">
        <v>1</v>
      </c>
      <c r="AP357" s="67"/>
      <c r="AQ357" s="38"/>
      <c r="AS357" s="61"/>
      <c r="AT357" s="45" t="s">
        <v>1</v>
      </c>
      <c r="AU357" s="67"/>
      <c r="AV357" s="45" t="s">
        <v>1</v>
      </c>
      <c r="AW357" s="45"/>
      <c r="AX357" s="67"/>
      <c r="AY357" s="45" t="s">
        <v>1</v>
      </c>
      <c r="AZ357" s="45"/>
      <c r="BA357" s="67"/>
      <c r="BB357" s="61"/>
      <c r="BC357" s="45" t="s">
        <v>1</v>
      </c>
      <c r="BD357" s="67"/>
    </row>
    <row r="358" spans="3:56" ht="12" customHeight="1" x14ac:dyDescent="0.2">
      <c r="C358" s="61"/>
      <c r="D358" s="45" t="s">
        <v>2</v>
      </c>
      <c r="E358" s="67"/>
      <c r="F358" s="45" t="s">
        <v>2</v>
      </c>
      <c r="G358" s="45"/>
      <c r="H358" s="67"/>
      <c r="I358" s="45" t="s">
        <v>2</v>
      </c>
      <c r="J358" s="45"/>
      <c r="K358" s="67"/>
      <c r="L358" s="45" t="s">
        <v>2</v>
      </c>
      <c r="M358" s="45"/>
      <c r="N358" s="67"/>
      <c r="O358" s="45"/>
      <c r="P358" s="45"/>
      <c r="Q358" s="61"/>
      <c r="R358" s="45" t="s">
        <v>2</v>
      </c>
      <c r="S358" s="67"/>
      <c r="T358" s="45" t="s">
        <v>2</v>
      </c>
      <c r="U358" s="45"/>
      <c r="V358" s="67"/>
      <c r="W358" s="45" t="s">
        <v>2</v>
      </c>
      <c r="X358" s="45"/>
      <c r="Y358" s="67"/>
      <c r="Z358" s="45" t="s">
        <v>2</v>
      </c>
      <c r="AA358" s="45"/>
      <c r="AB358" s="67"/>
      <c r="AC358" s="45"/>
      <c r="AD358" s="45"/>
      <c r="AE358" s="61"/>
      <c r="AF358" s="45" t="s">
        <v>2</v>
      </c>
      <c r="AG358" s="67"/>
      <c r="AH358" s="45" t="s">
        <v>2</v>
      </c>
      <c r="AI358" s="45"/>
      <c r="AJ358" s="67"/>
      <c r="AK358" s="45" t="s">
        <v>2</v>
      </c>
      <c r="AL358" s="45"/>
      <c r="AM358" s="67"/>
      <c r="AN358" s="45" t="s">
        <v>2</v>
      </c>
      <c r="AP358" s="67"/>
      <c r="AQ358" s="38"/>
      <c r="AS358" s="61"/>
      <c r="AT358" s="45" t="s">
        <v>2</v>
      </c>
      <c r="AU358" s="67"/>
      <c r="AV358" s="45" t="s">
        <v>2</v>
      </c>
      <c r="AW358" s="45"/>
      <c r="AX358" s="67"/>
      <c r="AY358" s="45" t="s">
        <v>2</v>
      </c>
      <c r="AZ358" s="45"/>
      <c r="BA358" s="67"/>
      <c r="BB358" s="61"/>
      <c r="BC358" s="45" t="s">
        <v>2</v>
      </c>
      <c r="BD358" s="67"/>
    </row>
    <row r="359" spans="3:56" ht="12" customHeight="1" x14ac:dyDescent="0.2">
      <c r="C359" s="70"/>
      <c r="D359" s="49" t="s">
        <v>3</v>
      </c>
      <c r="E359" s="71"/>
      <c r="F359" s="49" t="s">
        <v>3</v>
      </c>
      <c r="G359" s="49"/>
      <c r="H359" s="71"/>
      <c r="I359" s="49" t="s">
        <v>3</v>
      </c>
      <c r="J359" s="49"/>
      <c r="K359" s="71"/>
      <c r="L359" s="49" t="s">
        <v>3</v>
      </c>
      <c r="M359" s="49"/>
      <c r="N359" s="71"/>
      <c r="O359" s="45"/>
      <c r="P359" s="45"/>
      <c r="Q359" s="70"/>
      <c r="R359" s="49" t="s">
        <v>3</v>
      </c>
      <c r="S359" s="71"/>
      <c r="T359" s="49" t="s">
        <v>3</v>
      </c>
      <c r="U359" s="49"/>
      <c r="V359" s="71"/>
      <c r="W359" s="49" t="s">
        <v>3</v>
      </c>
      <c r="X359" s="49"/>
      <c r="Y359" s="71"/>
      <c r="Z359" s="49" t="s">
        <v>3</v>
      </c>
      <c r="AA359" s="49"/>
      <c r="AB359" s="71"/>
      <c r="AC359" s="45"/>
      <c r="AD359" s="45"/>
      <c r="AE359" s="70"/>
      <c r="AF359" s="49" t="s">
        <v>3</v>
      </c>
      <c r="AG359" s="71"/>
      <c r="AH359" s="49" t="s">
        <v>3</v>
      </c>
      <c r="AI359" s="49"/>
      <c r="AJ359" s="71"/>
      <c r="AK359" s="49" t="s">
        <v>3</v>
      </c>
      <c r="AL359" s="49"/>
      <c r="AM359" s="71"/>
      <c r="AN359" s="49" t="s">
        <v>3</v>
      </c>
      <c r="AP359" s="71"/>
      <c r="AQ359" s="38"/>
      <c r="AS359" s="70"/>
      <c r="AT359" s="49" t="s">
        <v>3</v>
      </c>
      <c r="AU359" s="71"/>
      <c r="AV359" s="49" t="s">
        <v>3</v>
      </c>
      <c r="AW359" s="49"/>
      <c r="AX359" s="71"/>
      <c r="AY359" s="49" t="s">
        <v>3</v>
      </c>
      <c r="AZ359" s="49"/>
      <c r="BA359" s="71"/>
      <c r="BB359" s="70"/>
      <c r="BC359" s="49" t="s">
        <v>3</v>
      </c>
      <c r="BD359" s="71"/>
    </row>
    <row r="361" spans="3:56" ht="12" customHeight="1" x14ac:dyDescent="0.2">
      <c r="C361" s="132" t="s">
        <v>139</v>
      </c>
      <c r="D361" s="132"/>
      <c r="E361" s="132"/>
      <c r="F361" s="132"/>
      <c r="G361" s="132"/>
      <c r="H361" s="43"/>
      <c r="I361" s="43"/>
      <c r="J361" s="43"/>
      <c r="K361" s="43"/>
      <c r="L361" s="43"/>
      <c r="M361" s="43"/>
      <c r="N361" s="43"/>
      <c r="O361" s="44"/>
      <c r="P361" s="44"/>
      <c r="Q361" s="44"/>
      <c r="R361" s="44"/>
      <c r="S361" s="44"/>
      <c r="T361" s="44"/>
      <c r="U361" s="44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44"/>
      <c r="AJ361" s="44"/>
      <c r="AK361" s="44"/>
      <c r="AL361" s="44"/>
      <c r="AM361" s="44"/>
      <c r="AN361" s="44"/>
      <c r="AP361" s="44"/>
      <c r="AS361" s="44"/>
      <c r="AT361" s="44"/>
      <c r="AU361" s="44"/>
      <c r="AV361" s="44"/>
      <c r="AW361" s="44"/>
      <c r="AX361" s="44"/>
      <c r="AY361" s="44"/>
      <c r="AZ361" s="44"/>
      <c r="BA361" s="44"/>
      <c r="BB361" s="44"/>
      <c r="BC361" s="44"/>
      <c r="BD361" s="44"/>
    </row>
    <row r="362" spans="3:56" ht="12" customHeight="1" x14ac:dyDescent="0.2">
      <c r="C362" s="133"/>
      <c r="D362" s="133"/>
      <c r="E362" s="133"/>
      <c r="F362" s="133"/>
      <c r="G362" s="133"/>
      <c r="H362" s="44"/>
      <c r="I362" s="44"/>
      <c r="J362" s="44"/>
      <c r="K362" s="44"/>
      <c r="L362" s="44"/>
      <c r="M362" s="44"/>
      <c r="N362" s="44"/>
      <c r="O362" s="44"/>
      <c r="P362" s="44"/>
      <c r="Q362" s="44"/>
      <c r="R362" s="44"/>
      <c r="S362" s="44"/>
      <c r="T362" s="44"/>
      <c r="U362" s="44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44"/>
      <c r="AJ362" s="44"/>
      <c r="AK362" s="44"/>
      <c r="AL362" s="44"/>
      <c r="AM362" s="44"/>
      <c r="AN362" s="44"/>
      <c r="AP362" s="44"/>
      <c r="AS362" s="44"/>
      <c r="AT362" s="44"/>
      <c r="AU362" s="44"/>
      <c r="AV362" s="44"/>
      <c r="AW362" s="44"/>
      <c r="AX362" s="44"/>
      <c r="AY362" s="44"/>
      <c r="AZ362" s="44"/>
      <c r="BA362" s="44"/>
      <c r="BB362" s="44"/>
      <c r="BC362" s="44"/>
      <c r="BD362" s="44"/>
    </row>
    <row r="363" spans="3:56" ht="12" customHeight="1" thickBot="1" x14ac:dyDescent="0.25">
      <c r="C363" s="61"/>
      <c r="D363" s="45" t="s">
        <v>0</v>
      </c>
      <c r="E363" s="45"/>
      <c r="F363" s="62"/>
      <c r="G363" s="45"/>
      <c r="H363" s="46" t="s">
        <v>0</v>
      </c>
      <c r="I363" s="46"/>
      <c r="J363" s="63"/>
      <c r="K363" s="46"/>
      <c r="L363" s="46" t="s">
        <v>0</v>
      </c>
      <c r="M363" s="46"/>
      <c r="N363" s="64"/>
      <c r="O363" s="45"/>
      <c r="P363" s="45"/>
      <c r="Q363" s="65"/>
      <c r="R363" s="46" t="s">
        <v>0</v>
      </c>
      <c r="S363" s="46"/>
      <c r="T363" s="63"/>
      <c r="U363" s="46"/>
      <c r="V363" s="46" t="s">
        <v>0</v>
      </c>
      <c r="W363" s="46"/>
      <c r="X363" s="63"/>
      <c r="Y363" s="46"/>
      <c r="Z363" s="46" t="s">
        <v>0</v>
      </c>
      <c r="AA363" s="46"/>
      <c r="AB363" s="64"/>
      <c r="AC363" s="45"/>
      <c r="AD363" s="45"/>
      <c r="AE363" s="65"/>
      <c r="AF363" s="46" t="s">
        <v>0</v>
      </c>
      <c r="AG363" s="46"/>
      <c r="AH363" s="63"/>
      <c r="AI363" s="46"/>
      <c r="AJ363" s="46" t="s">
        <v>0</v>
      </c>
      <c r="AK363" s="46"/>
      <c r="AL363" s="63"/>
      <c r="AM363" s="81"/>
      <c r="AN363" s="46" t="s">
        <v>0</v>
      </c>
      <c r="AP363" s="64"/>
      <c r="AS363" s="65"/>
      <c r="AT363" s="46" t="s">
        <v>0</v>
      </c>
      <c r="AU363" s="46"/>
      <c r="AV363" s="63"/>
      <c r="AW363" s="46"/>
      <c r="AX363" s="46" t="s">
        <v>0</v>
      </c>
      <c r="AY363" s="46"/>
      <c r="AZ363" s="63"/>
      <c r="BA363" s="81"/>
      <c r="BB363" s="46"/>
      <c r="BC363" s="46" t="s">
        <v>0</v>
      </c>
      <c r="BD363" s="64"/>
    </row>
    <row r="364" spans="3:56" ht="12" customHeight="1" x14ac:dyDescent="0.2">
      <c r="C364" s="61"/>
      <c r="D364" s="45" t="s">
        <v>1</v>
      </c>
      <c r="E364" s="45"/>
      <c r="F364" s="62"/>
      <c r="G364" s="47"/>
      <c r="H364" s="47" t="s">
        <v>1</v>
      </c>
      <c r="I364" s="47"/>
      <c r="J364" s="66"/>
      <c r="K364" s="45"/>
      <c r="L364" s="45" t="s">
        <v>1</v>
      </c>
      <c r="M364" s="45"/>
      <c r="N364" s="67"/>
      <c r="O364" s="45"/>
      <c r="P364" s="45"/>
      <c r="Q364" s="61"/>
      <c r="R364" s="45" t="s">
        <v>1</v>
      </c>
      <c r="S364" s="45"/>
      <c r="T364" s="62"/>
      <c r="U364" s="47"/>
      <c r="V364" s="47" t="s">
        <v>1</v>
      </c>
      <c r="W364" s="47"/>
      <c r="X364" s="66"/>
      <c r="Y364" s="45"/>
      <c r="Z364" s="45" t="s">
        <v>1</v>
      </c>
      <c r="AA364" s="45"/>
      <c r="AB364" s="67"/>
      <c r="AC364" s="45"/>
      <c r="AD364" s="45"/>
      <c r="AE364" s="61"/>
      <c r="AF364" s="45" t="s">
        <v>1</v>
      </c>
      <c r="AG364" s="45"/>
      <c r="AH364" s="62"/>
      <c r="AI364" s="47"/>
      <c r="AJ364" s="47" t="s">
        <v>1</v>
      </c>
      <c r="AK364" s="47"/>
      <c r="AL364" s="66"/>
      <c r="AM364" s="82"/>
      <c r="AN364" s="45" t="s">
        <v>1</v>
      </c>
      <c r="AP364" s="67"/>
      <c r="AS364" s="61"/>
      <c r="AT364" s="45" t="s">
        <v>1</v>
      </c>
      <c r="AU364" s="45"/>
      <c r="AV364" s="62"/>
      <c r="AW364" s="47"/>
      <c r="AX364" s="47" t="s">
        <v>1</v>
      </c>
      <c r="AY364" s="47"/>
      <c r="AZ364" s="66"/>
      <c r="BA364" s="82"/>
      <c r="BB364" s="45"/>
      <c r="BC364" s="45" t="s">
        <v>1</v>
      </c>
      <c r="BD364" s="67"/>
    </row>
    <row r="365" spans="3:56" ht="12" customHeight="1" x14ac:dyDescent="0.2">
      <c r="C365" s="61"/>
      <c r="D365" s="45" t="s">
        <v>2</v>
      </c>
      <c r="E365" s="45"/>
      <c r="F365" s="62"/>
      <c r="G365" s="45"/>
      <c r="H365" s="45" t="s">
        <v>2</v>
      </c>
      <c r="I365" s="45"/>
      <c r="J365" s="62"/>
      <c r="K365" s="45"/>
      <c r="L365" s="45" t="s">
        <v>2</v>
      </c>
      <c r="M365" s="45"/>
      <c r="N365" s="67"/>
      <c r="O365" s="45"/>
      <c r="P365" s="45"/>
      <c r="Q365" s="61"/>
      <c r="R365" s="45" t="s">
        <v>2</v>
      </c>
      <c r="S365" s="45"/>
      <c r="T365" s="62"/>
      <c r="U365" s="45"/>
      <c r="V365" s="45" t="s">
        <v>2</v>
      </c>
      <c r="W365" s="45"/>
      <c r="X365" s="62"/>
      <c r="Y365" s="45"/>
      <c r="Z365" s="45" t="s">
        <v>2</v>
      </c>
      <c r="AA365" s="45"/>
      <c r="AB365" s="67"/>
      <c r="AC365" s="45"/>
      <c r="AD365" s="45"/>
      <c r="AE365" s="61"/>
      <c r="AF365" s="45" t="s">
        <v>2</v>
      </c>
      <c r="AG365" s="45"/>
      <c r="AH365" s="62"/>
      <c r="AI365" s="45"/>
      <c r="AJ365" s="45" t="s">
        <v>2</v>
      </c>
      <c r="AK365" s="45"/>
      <c r="AL365" s="62"/>
      <c r="AM365" s="82"/>
      <c r="AN365" s="45" t="s">
        <v>2</v>
      </c>
      <c r="AP365" s="67"/>
      <c r="AS365" s="61"/>
      <c r="AT365" s="45" t="s">
        <v>2</v>
      </c>
      <c r="AU365" s="45"/>
      <c r="AV365" s="62"/>
      <c r="AW365" s="45"/>
      <c r="AX365" s="45" t="s">
        <v>2</v>
      </c>
      <c r="AY365" s="45"/>
      <c r="AZ365" s="62"/>
      <c r="BA365" s="82"/>
      <c r="BB365" s="45"/>
      <c r="BC365" s="45" t="s">
        <v>2</v>
      </c>
      <c r="BD365" s="67"/>
    </row>
    <row r="366" spans="3:56" ht="12" customHeight="1" thickBot="1" x14ac:dyDescent="0.25">
      <c r="C366" s="61"/>
      <c r="D366" s="45" t="s">
        <v>3</v>
      </c>
      <c r="E366" s="45"/>
      <c r="F366" s="68"/>
      <c r="G366" s="48"/>
      <c r="H366" s="48" t="s">
        <v>3</v>
      </c>
      <c r="I366" s="48"/>
      <c r="J366" s="69"/>
      <c r="K366" s="45"/>
      <c r="L366" s="45" t="s">
        <v>3</v>
      </c>
      <c r="M366" s="45"/>
      <c r="N366" s="67"/>
      <c r="O366" s="45"/>
      <c r="P366" s="45"/>
      <c r="Q366" s="61"/>
      <c r="R366" s="45" t="s">
        <v>3</v>
      </c>
      <c r="S366" s="45"/>
      <c r="T366" s="68"/>
      <c r="U366" s="48"/>
      <c r="V366" s="48" t="s">
        <v>3</v>
      </c>
      <c r="W366" s="48"/>
      <c r="X366" s="69"/>
      <c r="Y366" s="45"/>
      <c r="Z366" s="45" t="s">
        <v>3</v>
      </c>
      <c r="AA366" s="45"/>
      <c r="AB366" s="67"/>
      <c r="AC366" s="45"/>
      <c r="AD366" s="45"/>
      <c r="AE366" s="61"/>
      <c r="AF366" s="45" t="s">
        <v>3</v>
      </c>
      <c r="AG366" s="45"/>
      <c r="AH366" s="68"/>
      <c r="AI366" s="48"/>
      <c r="AJ366" s="48" t="s">
        <v>3</v>
      </c>
      <c r="AK366" s="48"/>
      <c r="AL366" s="69"/>
      <c r="AM366" s="83"/>
      <c r="AN366" s="45" t="s">
        <v>3</v>
      </c>
      <c r="AP366" s="67"/>
      <c r="AS366" s="61"/>
      <c r="AT366" s="45" t="s">
        <v>3</v>
      </c>
      <c r="AU366" s="45"/>
      <c r="AV366" s="68"/>
      <c r="AW366" s="48"/>
      <c r="AX366" s="48" t="s">
        <v>3</v>
      </c>
      <c r="AY366" s="48"/>
      <c r="AZ366" s="69"/>
      <c r="BA366" s="83"/>
      <c r="BB366" s="45"/>
      <c r="BC366" s="45" t="s">
        <v>3</v>
      </c>
      <c r="BD366" s="67"/>
    </row>
    <row r="367" spans="3:56" ht="12" customHeight="1" x14ac:dyDescent="0.2">
      <c r="C367" s="65"/>
      <c r="D367" s="46" t="s">
        <v>0</v>
      </c>
      <c r="E367" s="46"/>
      <c r="F367" s="67"/>
      <c r="G367" s="45"/>
      <c r="H367" s="40" t="s">
        <v>0</v>
      </c>
      <c r="I367" s="45"/>
      <c r="J367" s="62"/>
      <c r="K367" s="46"/>
      <c r="L367" s="46" t="s">
        <v>0</v>
      </c>
      <c r="M367" s="46"/>
      <c r="N367" s="64"/>
      <c r="O367" s="45"/>
      <c r="P367" s="45"/>
      <c r="Q367" s="65"/>
      <c r="R367" s="46" t="s">
        <v>0</v>
      </c>
      <c r="S367" s="46"/>
      <c r="T367" s="67"/>
      <c r="U367" s="45"/>
      <c r="V367" s="40" t="s">
        <v>0</v>
      </c>
      <c r="W367" s="45"/>
      <c r="X367" s="62"/>
      <c r="Y367" s="46"/>
      <c r="Z367" s="46" t="s">
        <v>0</v>
      </c>
      <c r="AA367" s="46"/>
      <c r="AB367" s="64"/>
      <c r="AC367" s="45"/>
      <c r="AD367" s="45"/>
      <c r="AE367" s="65"/>
      <c r="AF367" s="46" t="s">
        <v>0</v>
      </c>
      <c r="AG367" s="46"/>
      <c r="AH367" s="67"/>
      <c r="AI367" s="45"/>
      <c r="AJ367" s="40" t="s">
        <v>0</v>
      </c>
      <c r="AK367" s="45"/>
      <c r="AL367" s="62"/>
      <c r="AM367" s="46"/>
      <c r="AN367" s="46" t="s">
        <v>0</v>
      </c>
      <c r="AP367" s="64"/>
      <c r="AS367" s="65"/>
      <c r="AT367" s="46" t="s">
        <v>0</v>
      </c>
      <c r="AU367" s="46"/>
      <c r="AV367" s="67"/>
      <c r="AW367" s="45"/>
      <c r="AX367" s="40" t="s">
        <v>0</v>
      </c>
      <c r="AY367" s="45"/>
      <c r="AZ367" s="62"/>
      <c r="BA367" s="46"/>
      <c r="BB367" s="46"/>
      <c r="BC367" s="46" t="s">
        <v>0</v>
      </c>
      <c r="BD367" s="64"/>
    </row>
    <row r="368" spans="3:56" ht="12" customHeight="1" x14ac:dyDescent="0.2">
      <c r="C368" s="61"/>
      <c r="D368" s="45" t="s">
        <v>1</v>
      </c>
      <c r="E368" s="45"/>
      <c r="F368" s="67"/>
      <c r="G368" s="45"/>
      <c r="H368" s="38" t="s">
        <v>1</v>
      </c>
      <c r="I368" s="45"/>
      <c r="J368" s="67"/>
      <c r="K368" s="45"/>
      <c r="L368" s="45" t="s">
        <v>1</v>
      </c>
      <c r="M368" s="45"/>
      <c r="N368" s="67"/>
      <c r="O368" s="45"/>
      <c r="P368" s="45"/>
      <c r="Q368" s="61"/>
      <c r="R368" s="45" t="s">
        <v>1</v>
      </c>
      <c r="S368" s="45"/>
      <c r="T368" s="67"/>
      <c r="U368" s="45"/>
      <c r="V368" s="38" t="s">
        <v>1</v>
      </c>
      <c r="W368" s="45"/>
      <c r="X368" s="67"/>
      <c r="Y368" s="45"/>
      <c r="Z368" s="45" t="s">
        <v>1</v>
      </c>
      <c r="AA368" s="45"/>
      <c r="AB368" s="67"/>
      <c r="AC368" s="45"/>
      <c r="AD368" s="45"/>
      <c r="AE368" s="61"/>
      <c r="AF368" s="45" t="s">
        <v>1</v>
      </c>
      <c r="AG368" s="45"/>
      <c r="AH368" s="67"/>
      <c r="AI368" s="45"/>
      <c r="AJ368" s="38" t="s">
        <v>1</v>
      </c>
      <c r="AK368" s="45"/>
      <c r="AL368" s="67"/>
      <c r="AM368" s="45"/>
      <c r="AN368" s="45" t="s">
        <v>1</v>
      </c>
      <c r="AP368" s="67"/>
      <c r="AS368" s="61"/>
      <c r="AT368" s="45" t="s">
        <v>1</v>
      </c>
      <c r="AU368" s="45"/>
      <c r="AV368" s="67"/>
      <c r="AW368" s="45"/>
      <c r="AX368" s="38" t="s">
        <v>1</v>
      </c>
      <c r="AY368" s="45"/>
      <c r="AZ368" s="67"/>
      <c r="BA368" s="45"/>
      <c r="BB368" s="45"/>
      <c r="BC368" s="45" t="s">
        <v>1</v>
      </c>
      <c r="BD368" s="67"/>
    </row>
    <row r="369" spans="3:56" ht="12" customHeight="1" x14ac:dyDescent="0.2">
      <c r="C369" s="61"/>
      <c r="D369" s="45" t="s">
        <v>2</v>
      </c>
      <c r="E369" s="45"/>
      <c r="F369" s="67"/>
      <c r="G369" s="45"/>
      <c r="H369" s="38" t="s">
        <v>2</v>
      </c>
      <c r="I369" s="45"/>
      <c r="J369" s="67"/>
      <c r="K369" s="45"/>
      <c r="L369" s="45" t="s">
        <v>2</v>
      </c>
      <c r="M369" s="45"/>
      <c r="N369" s="67"/>
      <c r="O369" s="45"/>
      <c r="P369" s="45"/>
      <c r="Q369" s="61"/>
      <c r="R369" s="45" t="s">
        <v>2</v>
      </c>
      <c r="S369" s="45"/>
      <c r="T369" s="67"/>
      <c r="U369" s="45"/>
      <c r="V369" s="38" t="s">
        <v>2</v>
      </c>
      <c r="W369" s="45"/>
      <c r="X369" s="67"/>
      <c r="Y369" s="45"/>
      <c r="Z369" s="45" t="s">
        <v>2</v>
      </c>
      <c r="AA369" s="45"/>
      <c r="AB369" s="67"/>
      <c r="AC369" s="45"/>
      <c r="AD369" s="45"/>
      <c r="AE369" s="61"/>
      <c r="AF369" s="45" t="s">
        <v>2</v>
      </c>
      <c r="AG369" s="45"/>
      <c r="AH369" s="67"/>
      <c r="AI369" s="45"/>
      <c r="AJ369" s="38" t="s">
        <v>2</v>
      </c>
      <c r="AK369" s="45"/>
      <c r="AL369" s="67"/>
      <c r="AM369" s="45"/>
      <c r="AN369" s="45" t="s">
        <v>2</v>
      </c>
      <c r="AP369" s="67"/>
      <c r="AS369" s="61"/>
      <c r="AT369" s="45" t="s">
        <v>2</v>
      </c>
      <c r="AU369" s="45"/>
      <c r="AV369" s="67"/>
      <c r="AW369" s="45"/>
      <c r="AX369" s="38" t="s">
        <v>2</v>
      </c>
      <c r="AY369" s="45"/>
      <c r="AZ369" s="67"/>
      <c r="BA369" s="45"/>
      <c r="BB369" s="45"/>
      <c r="BC369" s="45" t="s">
        <v>2</v>
      </c>
      <c r="BD369" s="67"/>
    </row>
    <row r="370" spans="3:56" ht="12" customHeight="1" x14ac:dyDescent="0.2">
      <c r="C370" s="70"/>
      <c r="D370" s="49" t="s">
        <v>3</v>
      </c>
      <c r="E370" s="49"/>
      <c r="F370" s="71"/>
      <c r="G370" s="49"/>
      <c r="H370" s="39" t="s">
        <v>3</v>
      </c>
      <c r="I370" s="49"/>
      <c r="J370" s="71"/>
      <c r="K370" s="49"/>
      <c r="L370" s="49" t="s">
        <v>3</v>
      </c>
      <c r="M370" s="49"/>
      <c r="N370" s="71"/>
      <c r="O370" s="45"/>
      <c r="P370" s="45"/>
      <c r="Q370" s="70"/>
      <c r="R370" s="49" t="s">
        <v>3</v>
      </c>
      <c r="S370" s="49"/>
      <c r="T370" s="71"/>
      <c r="U370" s="49"/>
      <c r="V370" s="39" t="s">
        <v>3</v>
      </c>
      <c r="W370" s="49"/>
      <c r="X370" s="71"/>
      <c r="Y370" s="49"/>
      <c r="Z370" s="49" t="s">
        <v>3</v>
      </c>
      <c r="AA370" s="49"/>
      <c r="AB370" s="71"/>
      <c r="AC370" s="45"/>
      <c r="AD370" s="45"/>
      <c r="AE370" s="70"/>
      <c r="AF370" s="49" t="s">
        <v>3</v>
      </c>
      <c r="AG370" s="49"/>
      <c r="AH370" s="71"/>
      <c r="AI370" s="49"/>
      <c r="AJ370" s="39" t="s">
        <v>3</v>
      </c>
      <c r="AK370" s="49"/>
      <c r="AL370" s="71"/>
      <c r="AM370" s="49"/>
      <c r="AN370" s="49" t="s">
        <v>3</v>
      </c>
      <c r="AP370" s="71"/>
      <c r="AS370" s="70"/>
      <c r="AT370" s="49" t="s">
        <v>3</v>
      </c>
      <c r="AU370" s="49"/>
      <c r="AV370" s="71"/>
      <c r="AW370" s="49"/>
      <c r="AX370" s="39" t="s">
        <v>3</v>
      </c>
      <c r="AY370" s="49"/>
      <c r="AZ370" s="71"/>
      <c r="BA370" s="49"/>
      <c r="BB370" s="49"/>
      <c r="BC370" s="49" t="s">
        <v>3</v>
      </c>
      <c r="BD370" s="71"/>
    </row>
    <row r="371" spans="3:56" ht="12" customHeight="1" x14ac:dyDescent="0.2">
      <c r="C371" s="61"/>
      <c r="D371" s="45" t="s">
        <v>0</v>
      </c>
      <c r="E371" s="67"/>
      <c r="F371" s="45" t="s">
        <v>0</v>
      </c>
      <c r="G371" s="45"/>
      <c r="H371" s="67"/>
      <c r="I371" s="45" t="s">
        <v>0</v>
      </c>
      <c r="J371" s="45"/>
      <c r="K371" s="67"/>
      <c r="L371" s="45" t="s">
        <v>0</v>
      </c>
      <c r="M371" s="45"/>
      <c r="N371" s="67"/>
      <c r="O371" s="45"/>
      <c r="P371" s="45"/>
      <c r="Q371" s="61"/>
      <c r="R371" s="45" t="s">
        <v>0</v>
      </c>
      <c r="S371" s="67"/>
      <c r="T371" s="45" t="s">
        <v>0</v>
      </c>
      <c r="U371" s="45"/>
      <c r="V371" s="67"/>
      <c r="W371" s="45" t="s">
        <v>0</v>
      </c>
      <c r="X371" s="45"/>
      <c r="Y371" s="67"/>
      <c r="Z371" s="45" t="s">
        <v>0</v>
      </c>
      <c r="AA371" s="45"/>
      <c r="AB371" s="67"/>
      <c r="AC371" s="45"/>
      <c r="AD371" s="45"/>
      <c r="AE371" s="61"/>
      <c r="AF371" s="45" t="s">
        <v>0</v>
      </c>
      <c r="AG371" s="67"/>
      <c r="AH371" s="45" t="s">
        <v>0</v>
      </c>
      <c r="AI371" s="45"/>
      <c r="AJ371" s="67"/>
      <c r="AK371" s="45" t="s">
        <v>0</v>
      </c>
      <c r="AL371" s="45"/>
      <c r="AM371" s="67"/>
      <c r="AN371" s="45" t="s">
        <v>0</v>
      </c>
      <c r="AP371" s="67"/>
      <c r="AS371" s="61"/>
      <c r="AT371" s="45" t="s">
        <v>0</v>
      </c>
      <c r="AU371" s="67"/>
      <c r="AV371" s="45" t="s">
        <v>0</v>
      </c>
      <c r="AW371" s="45"/>
      <c r="AX371" s="67"/>
      <c r="AY371" s="45" t="s">
        <v>0</v>
      </c>
      <c r="AZ371" s="45"/>
      <c r="BA371" s="67"/>
      <c r="BB371" s="61"/>
      <c r="BC371" s="45" t="s">
        <v>0</v>
      </c>
      <c r="BD371" s="67"/>
    </row>
    <row r="372" spans="3:56" ht="12" customHeight="1" x14ac:dyDescent="0.2">
      <c r="C372" s="61"/>
      <c r="D372" s="45" t="s">
        <v>1</v>
      </c>
      <c r="E372" s="67"/>
      <c r="F372" s="45" t="s">
        <v>1</v>
      </c>
      <c r="G372" s="45"/>
      <c r="H372" s="67"/>
      <c r="I372" s="45" t="s">
        <v>1</v>
      </c>
      <c r="J372" s="45"/>
      <c r="K372" s="67"/>
      <c r="L372" s="45" t="s">
        <v>1</v>
      </c>
      <c r="M372" s="45"/>
      <c r="N372" s="67"/>
      <c r="O372" s="45"/>
      <c r="P372" s="45"/>
      <c r="Q372" s="61"/>
      <c r="R372" s="45" t="s">
        <v>1</v>
      </c>
      <c r="S372" s="67"/>
      <c r="T372" s="45" t="s">
        <v>1</v>
      </c>
      <c r="U372" s="45"/>
      <c r="V372" s="67"/>
      <c r="W372" s="45" t="s">
        <v>1</v>
      </c>
      <c r="X372" s="45"/>
      <c r="Y372" s="67"/>
      <c r="Z372" s="45" t="s">
        <v>1</v>
      </c>
      <c r="AA372" s="45"/>
      <c r="AB372" s="67"/>
      <c r="AC372" s="45"/>
      <c r="AD372" s="45"/>
      <c r="AE372" s="61"/>
      <c r="AF372" s="45" t="s">
        <v>1</v>
      </c>
      <c r="AG372" s="67"/>
      <c r="AH372" s="45" t="s">
        <v>1</v>
      </c>
      <c r="AI372" s="45"/>
      <c r="AJ372" s="67"/>
      <c r="AK372" s="45" t="s">
        <v>1</v>
      </c>
      <c r="AL372" s="45"/>
      <c r="AM372" s="67"/>
      <c r="AN372" s="45" t="s">
        <v>1</v>
      </c>
      <c r="AP372" s="67"/>
      <c r="AS372" s="61"/>
      <c r="AT372" s="45" t="s">
        <v>1</v>
      </c>
      <c r="AU372" s="67"/>
      <c r="AV372" s="45" t="s">
        <v>1</v>
      </c>
      <c r="AW372" s="45"/>
      <c r="AX372" s="67"/>
      <c r="AY372" s="45" t="s">
        <v>1</v>
      </c>
      <c r="AZ372" s="45"/>
      <c r="BA372" s="67"/>
      <c r="BB372" s="61"/>
      <c r="BC372" s="45" t="s">
        <v>1</v>
      </c>
      <c r="BD372" s="67"/>
    </row>
    <row r="373" spans="3:56" ht="12" customHeight="1" x14ac:dyDescent="0.2">
      <c r="C373" s="61"/>
      <c r="D373" s="45" t="s">
        <v>2</v>
      </c>
      <c r="E373" s="67"/>
      <c r="F373" s="45" t="s">
        <v>2</v>
      </c>
      <c r="G373" s="45"/>
      <c r="H373" s="67"/>
      <c r="I373" s="45" t="s">
        <v>2</v>
      </c>
      <c r="J373" s="45"/>
      <c r="K373" s="67"/>
      <c r="L373" s="45" t="s">
        <v>2</v>
      </c>
      <c r="M373" s="45"/>
      <c r="N373" s="67"/>
      <c r="O373" s="45"/>
      <c r="P373" s="45"/>
      <c r="Q373" s="61"/>
      <c r="R373" s="45" t="s">
        <v>2</v>
      </c>
      <c r="S373" s="67"/>
      <c r="T373" s="45" t="s">
        <v>2</v>
      </c>
      <c r="U373" s="45"/>
      <c r="V373" s="67"/>
      <c r="W373" s="45" t="s">
        <v>2</v>
      </c>
      <c r="X373" s="45"/>
      <c r="Y373" s="67"/>
      <c r="Z373" s="45" t="s">
        <v>2</v>
      </c>
      <c r="AA373" s="45"/>
      <c r="AB373" s="67"/>
      <c r="AC373" s="45"/>
      <c r="AD373" s="45"/>
      <c r="AE373" s="61"/>
      <c r="AF373" s="45" t="s">
        <v>2</v>
      </c>
      <c r="AG373" s="67"/>
      <c r="AH373" s="45" t="s">
        <v>2</v>
      </c>
      <c r="AI373" s="45"/>
      <c r="AJ373" s="67"/>
      <c r="AK373" s="45" t="s">
        <v>2</v>
      </c>
      <c r="AL373" s="45"/>
      <c r="AM373" s="67"/>
      <c r="AN373" s="45" t="s">
        <v>2</v>
      </c>
      <c r="AP373" s="67"/>
      <c r="AS373" s="61"/>
      <c r="AT373" s="45" t="s">
        <v>2</v>
      </c>
      <c r="AU373" s="67"/>
      <c r="AV373" s="45" t="s">
        <v>2</v>
      </c>
      <c r="AW373" s="45"/>
      <c r="AX373" s="67"/>
      <c r="AY373" s="45" t="s">
        <v>2</v>
      </c>
      <c r="AZ373" s="45"/>
      <c r="BA373" s="67"/>
      <c r="BB373" s="61"/>
      <c r="BC373" s="45" t="s">
        <v>2</v>
      </c>
      <c r="BD373" s="67"/>
    </row>
    <row r="374" spans="3:56" ht="12" customHeight="1" x14ac:dyDescent="0.2">
      <c r="C374" s="70"/>
      <c r="D374" s="49" t="s">
        <v>3</v>
      </c>
      <c r="E374" s="71"/>
      <c r="F374" s="49" t="s">
        <v>3</v>
      </c>
      <c r="G374" s="49"/>
      <c r="H374" s="71"/>
      <c r="I374" s="49" t="s">
        <v>3</v>
      </c>
      <c r="J374" s="49"/>
      <c r="K374" s="71"/>
      <c r="L374" s="49" t="s">
        <v>3</v>
      </c>
      <c r="M374" s="49"/>
      <c r="N374" s="71"/>
      <c r="O374" s="45"/>
      <c r="P374" s="45"/>
      <c r="Q374" s="70"/>
      <c r="R374" s="49" t="s">
        <v>3</v>
      </c>
      <c r="S374" s="71"/>
      <c r="T374" s="49" t="s">
        <v>3</v>
      </c>
      <c r="U374" s="49"/>
      <c r="V374" s="71"/>
      <c r="W374" s="49" t="s">
        <v>3</v>
      </c>
      <c r="X374" s="49"/>
      <c r="Y374" s="71"/>
      <c r="Z374" s="49" t="s">
        <v>3</v>
      </c>
      <c r="AA374" s="49"/>
      <c r="AB374" s="71"/>
      <c r="AC374" s="45"/>
      <c r="AD374" s="45"/>
      <c r="AE374" s="70"/>
      <c r="AF374" s="49" t="s">
        <v>3</v>
      </c>
      <c r="AG374" s="71"/>
      <c r="AH374" s="49" t="s">
        <v>3</v>
      </c>
      <c r="AI374" s="49"/>
      <c r="AJ374" s="71"/>
      <c r="AK374" s="49" t="s">
        <v>3</v>
      </c>
      <c r="AL374" s="49"/>
      <c r="AM374" s="71"/>
      <c r="AN374" s="49" t="s">
        <v>3</v>
      </c>
      <c r="AP374" s="71"/>
      <c r="AS374" s="70"/>
      <c r="AT374" s="49" t="s">
        <v>3</v>
      </c>
      <c r="AU374" s="71"/>
      <c r="AV374" s="49" t="s">
        <v>3</v>
      </c>
      <c r="AW374" s="49"/>
      <c r="AX374" s="71"/>
      <c r="AY374" s="49" t="s">
        <v>3</v>
      </c>
      <c r="AZ374" s="49"/>
      <c r="BA374" s="71"/>
      <c r="BB374" s="70"/>
      <c r="BC374" s="49" t="s">
        <v>3</v>
      </c>
      <c r="BD374" s="71"/>
    </row>
    <row r="375" spans="3:56" ht="12" customHeight="1" x14ac:dyDescent="0.2"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38"/>
      <c r="Z375" s="38"/>
      <c r="AA375" s="38"/>
      <c r="AB375" s="38"/>
      <c r="AC375" s="38"/>
      <c r="AD375" s="38"/>
      <c r="AE375" s="38"/>
      <c r="AF375" s="38"/>
      <c r="AG375" s="38"/>
      <c r="AH375" s="38"/>
      <c r="AI375" s="38"/>
      <c r="AJ375" s="38"/>
      <c r="AK375" s="38"/>
      <c r="AL375" s="38"/>
      <c r="AM375" s="38"/>
      <c r="AN375" s="38"/>
      <c r="AP375" s="38"/>
      <c r="AS375" s="38"/>
      <c r="AT375" s="38"/>
      <c r="AU375" s="38"/>
      <c r="AV375" s="38"/>
      <c r="AW375" s="38"/>
      <c r="AX375" s="38"/>
      <c r="AY375" s="38"/>
      <c r="AZ375" s="38"/>
      <c r="BA375" s="38"/>
      <c r="BB375" s="38"/>
      <c r="BC375" s="38"/>
      <c r="BD375" s="38"/>
    </row>
    <row r="376" spans="3:56" ht="12" customHeight="1" x14ac:dyDescent="0.2">
      <c r="C376" s="132" t="s">
        <v>140</v>
      </c>
      <c r="D376" s="132"/>
      <c r="E376" s="132"/>
      <c r="F376" s="132"/>
      <c r="G376" s="132"/>
      <c r="H376" s="43"/>
      <c r="I376" s="43"/>
      <c r="J376" s="43"/>
      <c r="K376" s="43"/>
      <c r="L376" s="43"/>
      <c r="M376" s="43"/>
      <c r="N376" s="43"/>
      <c r="O376" s="44"/>
      <c r="P376" s="44"/>
      <c r="Q376" s="44"/>
      <c r="R376" s="44"/>
      <c r="S376" s="44"/>
      <c r="T376" s="44"/>
      <c r="U376" s="44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44"/>
      <c r="AJ376" s="44"/>
      <c r="AK376" s="44"/>
      <c r="AL376" s="44"/>
      <c r="AM376" s="44"/>
      <c r="AN376" s="44"/>
      <c r="AP376" s="44"/>
      <c r="AS376" s="44"/>
      <c r="AT376" s="44"/>
      <c r="AU376" s="44"/>
      <c r="AV376" s="44"/>
      <c r="AW376" s="44"/>
      <c r="AX376" s="44"/>
      <c r="AY376" s="44"/>
      <c r="AZ376" s="44"/>
      <c r="BA376" s="44"/>
      <c r="BB376" s="44"/>
      <c r="BC376" s="44"/>
      <c r="BD376" s="44"/>
    </row>
    <row r="377" spans="3:56" ht="12" customHeight="1" x14ac:dyDescent="0.2">
      <c r="C377" s="133"/>
      <c r="D377" s="133"/>
      <c r="E377" s="133"/>
      <c r="F377" s="133"/>
      <c r="G377" s="133"/>
      <c r="H377" s="44"/>
      <c r="I377" s="44"/>
      <c r="J377" s="44"/>
      <c r="K377" s="44"/>
      <c r="L377" s="44"/>
      <c r="M377" s="44"/>
      <c r="N377" s="44"/>
      <c r="O377" s="44"/>
      <c r="P377" s="44"/>
      <c r="Q377" s="44"/>
      <c r="R377" s="44"/>
      <c r="S377" s="44"/>
      <c r="T377" s="44"/>
      <c r="U377" s="44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44"/>
      <c r="AJ377" s="44"/>
      <c r="AK377" s="44"/>
      <c r="AL377" s="44"/>
      <c r="AM377" s="44"/>
      <c r="AN377" s="44"/>
      <c r="AP377" s="44"/>
      <c r="AS377" s="44"/>
      <c r="AT377" s="44"/>
      <c r="AU377" s="44"/>
      <c r="AV377" s="44"/>
      <c r="AW377" s="44"/>
      <c r="AX377" s="44"/>
      <c r="AY377" s="44"/>
      <c r="AZ377" s="44"/>
      <c r="BA377" s="44"/>
      <c r="BB377" s="44"/>
      <c r="BC377" s="44"/>
      <c r="BD377" s="44"/>
    </row>
    <row r="378" spans="3:56" ht="12" customHeight="1" thickBot="1" x14ac:dyDescent="0.25">
      <c r="C378" s="61"/>
      <c r="D378" s="45" t="s">
        <v>0</v>
      </c>
      <c r="E378" s="45"/>
      <c r="F378" s="62"/>
      <c r="G378" s="45"/>
      <c r="H378" s="46" t="s">
        <v>0</v>
      </c>
      <c r="I378" s="46"/>
      <c r="J378" s="63"/>
      <c r="K378" s="46"/>
      <c r="L378" s="46" t="s">
        <v>0</v>
      </c>
      <c r="M378" s="46"/>
      <c r="N378" s="64"/>
      <c r="O378" s="45"/>
      <c r="P378" s="45"/>
      <c r="Q378" s="65"/>
      <c r="R378" s="46" t="s">
        <v>0</v>
      </c>
      <c r="S378" s="46"/>
      <c r="T378" s="63"/>
      <c r="U378" s="46"/>
      <c r="V378" s="46" t="s">
        <v>0</v>
      </c>
      <c r="W378" s="46"/>
      <c r="X378" s="63"/>
      <c r="Y378" s="46"/>
      <c r="Z378" s="46" t="s">
        <v>0</v>
      </c>
      <c r="AA378" s="46"/>
      <c r="AB378" s="64"/>
      <c r="AC378" s="45"/>
      <c r="AD378" s="45"/>
      <c r="AE378" s="65"/>
      <c r="AF378" s="46" t="s">
        <v>0</v>
      </c>
      <c r="AG378" s="46"/>
      <c r="AH378" s="63"/>
      <c r="AI378" s="46"/>
      <c r="AJ378" s="46" t="s">
        <v>0</v>
      </c>
      <c r="AK378" s="46"/>
      <c r="AL378" s="63"/>
      <c r="AM378" s="81"/>
      <c r="AN378" s="46" t="s">
        <v>0</v>
      </c>
      <c r="AP378" s="64"/>
      <c r="AS378" s="65"/>
      <c r="AT378" s="46" t="s">
        <v>0</v>
      </c>
      <c r="AU378" s="46"/>
      <c r="AV378" s="63"/>
      <c r="AW378" s="46"/>
      <c r="AX378" s="46" t="s">
        <v>0</v>
      </c>
      <c r="AY378" s="46"/>
      <c r="AZ378" s="63"/>
      <c r="BA378" s="81"/>
      <c r="BB378" s="46"/>
      <c r="BC378" s="46" t="s">
        <v>0</v>
      </c>
      <c r="BD378" s="64"/>
    </row>
    <row r="379" spans="3:56" ht="12" customHeight="1" x14ac:dyDescent="0.2">
      <c r="C379" s="61"/>
      <c r="D379" s="45" t="s">
        <v>1</v>
      </c>
      <c r="E379" s="45"/>
      <c r="F379" s="62"/>
      <c r="G379" s="47"/>
      <c r="H379" s="47" t="s">
        <v>1</v>
      </c>
      <c r="I379" s="47"/>
      <c r="J379" s="66"/>
      <c r="K379" s="45"/>
      <c r="L379" s="45" t="s">
        <v>1</v>
      </c>
      <c r="M379" s="45"/>
      <c r="N379" s="67"/>
      <c r="O379" s="45"/>
      <c r="P379" s="45"/>
      <c r="Q379" s="61"/>
      <c r="R379" s="45" t="s">
        <v>1</v>
      </c>
      <c r="S379" s="45"/>
      <c r="T379" s="62"/>
      <c r="U379" s="47"/>
      <c r="V379" s="47" t="s">
        <v>1</v>
      </c>
      <c r="W379" s="47"/>
      <c r="X379" s="66"/>
      <c r="Y379" s="45"/>
      <c r="Z379" s="45" t="s">
        <v>1</v>
      </c>
      <c r="AA379" s="45"/>
      <c r="AB379" s="67"/>
      <c r="AC379" s="45"/>
      <c r="AD379" s="45"/>
      <c r="AE379" s="61"/>
      <c r="AF379" s="45" t="s">
        <v>1</v>
      </c>
      <c r="AG379" s="45"/>
      <c r="AH379" s="62"/>
      <c r="AI379" s="47"/>
      <c r="AJ379" s="47" t="s">
        <v>1</v>
      </c>
      <c r="AK379" s="47"/>
      <c r="AL379" s="66"/>
      <c r="AM379" s="82"/>
      <c r="AN379" s="45" t="s">
        <v>1</v>
      </c>
      <c r="AP379" s="67"/>
      <c r="AS379" s="61"/>
      <c r="AT379" s="45" t="s">
        <v>1</v>
      </c>
      <c r="AU379" s="45"/>
      <c r="AV379" s="62"/>
      <c r="AW379" s="47"/>
      <c r="AX379" s="47" t="s">
        <v>1</v>
      </c>
      <c r="AY379" s="47"/>
      <c r="AZ379" s="66"/>
      <c r="BA379" s="82"/>
      <c r="BB379" s="45"/>
      <c r="BC379" s="45" t="s">
        <v>1</v>
      </c>
      <c r="BD379" s="67"/>
    </row>
    <row r="380" spans="3:56" ht="12" customHeight="1" x14ac:dyDescent="0.2">
      <c r="C380" s="61"/>
      <c r="D380" s="45" t="s">
        <v>2</v>
      </c>
      <c r="E380" s="45"/>
      <c r="F380" s="62"/>
      <c r="G380" s="45"/>
      <c r="H380" s="45" t="s">
        <v>2</v>
      </c>
      <c r="I380" s="45"/>
      <c r="J380" s="62"/>
      <c r="K380" s="45"/>
      <c r="L380" s="45" t="s">
        <v>2</v>
      </c>
      <c r="M380" s="45"/>
      <c r="N380" s="67"/>
      <c r="O380" s="45"/>
      <c r="P380" s="45"/>
      <c r="Q380" s="61"/>
      <c r="R380" s="45" t="s">
        <v>2</v>
      </c>
      <c r="S380" s="45"/>
      <c r="T380" s="62"/>
      <c r="U380" s="45"/>
      <c r="V380" s="45" t="s">
        <v>2</v>
      </c>
      <c r="W380" s="45"/>
      <c r="X380" s="62"/>
      <c r="Y380" s="45"/>
      <c r="Z380" s="45" t="s">
        <v>2</v>
      </c>
      <c r="AA380" s="45"/>
      <c r="AB380" s="67"/>
      <c r="AC380" s="45"/>
      <c r="AD380" s="45"/>
      <c r="AE380" s="61"/>
      <c r="AF380" s="45" t="s">
        <v>2</v>
      </c>
      <c r="AG380" s="45"/>
      <c r="AH380" s="62"/>
      <c r="AI380" s="45"/>
      <c r="AJ380" s="45" t="s">
        <v>2</v>
      </c>
      <c r="AK380" s="45"/>
      <c r="AL380" s="62"/>
      <c r="AM380" s="82"/>
      <c r="AN380" s="45" t="s">
        <v>2</v>
      </c>
      <c r="AP380" s="67"/>
      <c r="AS380" s="61"/>
      <c r="AT380" s="45" t="s">
        <v>2</v>
      </c>
      <c r="AU380" s="45"/>
      <c r="AV380" s="62"/>
      <c r="AW380" s="45"/>
      <c r="AX380" s="45" t="s">
        <v>2</v>
      </c>
      <c r="AY380" s="45"/>
      <c r="AZ380" s="62"/>
      <c r="BA380" s="82"/>
      <c r="BB380" s="45"/>
      <c r="BC380" s="45" t="s">
        <v>2</v>
      </c>
      <c r="BD380" s="67"/>
    </row>
    <row r="381" spans="3:56" ht="12" customHeight="1" thickBot="1" x14ac:dyDescent="0.25">
      <c r="C381" s="61"/>
      <c r="D381" s="45" t="s">
        <v>3</v>
      </c>
      <c r="E381" s="45"/>
      <c r="F381" s="68"/>
      <c r="G381" s="48"/>
      <c r="H381" s="48" t="s">
        <v>3</v>
      </c>
      <c r="I381" s="48"/>
      <c r="J381" s="69"/>
      <c r="K381" s="45"/>
      <c r="L381" s="45" t="s">
        <v>3</v>
      </c>
      <c r="M381" s="45"/>
      <c r="N381" s="67"/>
      <c r="O381" s="45"/>
      <c r="P381" s="45"/>
      <c r="Q381" s="61"/>
      <c r="R381" s="45" t="s">
        <v>3</v>
      </c>
      <c r="S381" s="45"/>
      <c r="T381" s="68"/>
      <c r="U381" s="48"/>
      <c r="V381" s="48" t="s">
        <v>3</v>
      </c>
      <c r="W381" s="48"/>
      <c r="X381" s="69"/>
      <c r="Y381" s="45"/>
      <c r="Z381" s="45" t="s">
        <v>3</v>
      </c>
      <c r="AA381" s="45"/>
      <c r="AB381" s="67"/>
      <c r="AC381" s="45"/>
      <c r="AD381" s="45"/>
      <c r="AE381" s="61"/>
      <c r="AF381" s="45" t="s">
        <v>3</v>
      </c>
      <c r="AG381" s="45"/>
      <c r="AH381" s="68"/>
      <c r="AI381" s="48"/>
      <c r="AJ381" s="48" t="s">
        <v>3</v>
      </c>
      <c r="AK381" s="48"/>
      <c r="AL381" s="69"/>
      <c r="AM381" s="83"/>
      <c r="AN381" s="45" t="s">
        <v>3</v>
      </c>
      <c r="AP381" s="67"/>
      <c r="AS381" s="61"/>
      <c r="AT381" s="45" t="s">
        <v>3</v>
      </c>
      <c r="AU381" s="45"/>
      <c r="AV381" s="68"/>
      <c r="AW381" s="48"/>
      <c r="AX381" s="48" t="s">
        <v>3</v>
      </c>
      <c r="AY381" s="48"/>
      <c r="AZ381" s="69"/>
      <c r="BA381" s="83"/>
      <c r="BB381" s="45"/>
      <c r="BC381" s="45" t="s">
        <v>3</v>
      </c>
      <c r="BD381" s="67"/>
    </row>
    <row r="382" spans="3:56" ht="12" customHeight="1" x14ac:dyDescent="0.2">
      <c r="C382" s="65"/>
      <c r="D382" s="46" t="s">
        <v>0</v>
      </c>
      <c r="E382" s="46"/>
      <c r="F382" s="67"/>
      <c r="G382" s="45"/>
      <c r="H382" s="40" t="s">
        <v>0</v>
      </c>
      <c r="I382" s="45"/>
      <c r="J382" s="62"/>
      <c r="K382" s="46"/>
      <c r="L382" s="46" t="s">
        <v>0</v>
      </c>
      <c r="M382" s="46"/>
      <c r="N382" s="64"/>
      <c r="O382" s="45"/>
      <c r="P382" s="45"/>
      <c r="Q382" s="65"/>
      <c r="R382" s="46" t="s">
        <v>0</v>
      </c>
      <c r="S382" s="46"/>
      <c r="T382" s="67"/>
      <c r="U382" s="45"/>
      <c r="V382" s="40" t="s">
        <v>0</v>
      </c>
      <c r="W382" s="45"/>
      <c r="X382" s="62"/>
      <c r="Y382" s="46"/>
      <c r="Z382" s="46" t="s">
        <v>0</v>
      </c>
      <c r="AA382" s="46"/>
      <c r="AB382" s="64"/>
      <c r="AC382" s="45"/>
      <c r="AD382" s="45"/>
      <c r="AE382" s="65"/>
      <c r="AF382" s="46" t="s">
        <v>0</v>
      </c>
      <c r="AG382" s="46"/>
      <c r="AH382" s="67"/>
      <c r="AI382" s="45"/>
      <c r="AJ382" s="40" t="s">
        <v>0</v>
      </c>
      <c r="AK382" s="45"/>
      <c r="AL382" s="62"/>
      <c r="AM382" s="46"/>
      <c r="AN382" s="46" t="s">
        <v>0</v>
      </c>
      <c r="AP382" s="64"/>
      <c r="AS382" s="65"/>
      <c r="AT382" s="46" t="s">
        <v>0</v>
      </c>
      <c r="AU382" s="46"/>
      <c r="AV382" s="67"/>
      <c r="AW382" s="45"/>
      <c r="AX382" s="40" t="s">
        <v>0</v>
      </c>
      <c r="AY382" s="45"/>
      <c r="AZ382" s="62"/>
      <c r="BA382" s="46"/>
      <c r="BB382" s="46"/>
      <c r="BC382" s="46" t="s">
        <v>0</v>
      </c>
      <c r="BD382" s="64"/>
    </row>
    <row r="383" spans="3:56" ht="12" customHeight="1" x14ac:dyDescent="0.2">
      <c r="C383" s="61"/>
      <c r="D383" s="45" t="s">
        <v>1</v>
      </c>
      <c r="E383" s="45"/>
      <c r="F383" s="67"/>
      <c r="G383" s="45"/>
      <c r="H383" s="38" t="s">
        <v>1</v>
      </c>
      <c r="I383" s="45"/>
      <c r="J383" s="67"/>
      <c r="K383" s="45"/>
      <c r="L383" s="45" t="s">
        <v>1</v>
      </c>
      <c r="M383" s="45"/>
      <c r="N383" s="67"/>
      <c r="O383" s="45"/>
      <c r="P383" s="45"/>
      <c r="Q383" s="61"/>
      <c r="R383" s="45" t="s">
        <v>1</v>
      </c>
      <c r="S383" s="45"/>
      <c r="T383" s="67"/>
      <c r="U383" s="45"/>
      <c r="V383" s="38" t="s">
        <v>1</v>
      </c>
      <c r="W383" s="45"/>
      <c r="X383" s="67"/>
      <c r="Y383" s="45"/>
      <c r="Z383" s="45" t="s">
        <v>1</v>
      </c>
      <c r="AA383" s="45"/>
      <c r="AB383" s="67"/>
      <c r="AC383" s="45"/>
      <c r="AD383" s="45"/>
      <c r="AE383" s="61"/>
      <c r="AF383" s="45" t="s">
        <v>1</v>
      </c>
      <c r="AG383" s="45"/>
      <c r="AH383" s="67"/>
      <c r="AI383" s="45"/>
      <c r="AJ383" s="38" t="s">
        <v>1</v>
      </c>
      <c r="AK383" s="45"/>
      <c r="AL383" s="67"/>
      <c r="AM383" s="45"/>
      <c r="AN383" s="45" t="s">
        <v>1</v>
      </c>
      <c r="AP383" s="67"/>
      <c r="AS383" s="61"/>
      <c r="AT383" s="45" t="s">
        <v>1</v>
      </c>
      <c r="AU383" s="45"/>
      <c r="AV383" s="67"/>
      <c r="AW383" s="45"/>
      <c r="AX383" s="38" t="s">
        <v>1</v>
      </c>
      <c r="AY383" s="45"/>
      <c r="AZ383" s="67"/>
      <c r="BA383" s="45"/>
      <c r="BB383" s="45"/>
      <c r="BC383" s="45" t="s">
        <v>1</v>
      </c>
      <c r="BD383" s="67"/>
    </row>
    <row r="384" spans="3:56" ht="12" customHeight="1" x14ac:dyDescent="0.2">
      <c r="C384" s="61"/>
      <c r="D384" s="45" t="s">
        <v>2</v>
      </c>
      <c r="E384" s="45"/>
      <c r="F384" s="67"/>
      <c r="G384" s="45"/>
      <c r="H384" s="38" t="s">
        <v>2</v>
      </c>
      <c r="I384" s="45"/>
      <c r="J384" s="67"/>
      <c r="K384" s="45"/>
      <c r="L384" s="45" t="s">
        <v>2</v>
      </c>
      <c r="M384" s="45"/>
      <c r="N384" s="67"/>
      <c r="O384" s="45"/>
      <c r="P384" s="45"/>
      <c r="Q384" s="61"/>
      <c r="R384" s="45" t="s">
        <v>2</v>
      </c>
      <c r="S384" s="45"/>
      <c r="T384" s="67"/>
      <c r="U384" s="45"/>
      <c r="V384" s="38" t="s">
        <v>2</v>
      </c>
      <c r="W384" s="45"/>
      <c r="X384" s="67"/>
      <c r="Y384" s="45"/>
      <c r="Z384" s="45" t="s">
        <v>2</v>
      </c>
      <c r="AA384" s="45"/>
      <c r="AB384" s="67"/>
      <c r="AC384" s="45"/>
      <c r="AD384" s="45"/>
      <c r="AE384" s="61"/>
      <c r="AF384" s="45" t="s">
        <v>2</v>
      </c>
      <c r="AG384" s="45"/>
      <c r="AH384" s="67"/>
      <c r="AI384" s="45"/>
      <c r="AJ384" s="38" t="s">
        <v>2</v>
      </c>
      <c r="AK384" s="45"/>
      <c r="AL384" s="67"/>
      <c r="AM384" s="45"/>
      <c r="AN384" s="45" t="s">
        <v>2</v>
      </c>
      <c r="AP384" s="67"/>
      <c r="AS384" s="61"/>
      <c r="AT384" s="45" t="s">
        <v>2</v>
      </c>
      <c r="AU384" s="45"/>
      <c r="AV384" s="67"/>
      <c r="AW384" s="45"/>
      <c r="AX384" s="38" t="s">
        <v>2</v>
      </c>
      <c r="AY384" s="45"/>
      <c r="AZ384" s="67"/>
      <c r="BA384" s="45"/>
      <c r="BB384" s="45"/>
      <c r="BC384" s="45" t="s">
        <v>2</v>
      </c>
      <c r="BD384" s="67"/>
    </row>
    <row r="385" spans="3:56" ht="12" customHeight="1" x14ac:dyDescent="0.2">
      <c r="C385" s="70"/>
      <c r="D385" s="49" t="s">
        <v>3</v>
      </c>
      <c r="E385" s="49"/>
      <c r="F385" s="71"/>
      <c r="G385" s="49"/>
      <c r="H385" s="39" t="s">
        <v>3</v>
      </c>
      <c r="I385" s="49"/>
      <c r="J385" s="71"/>
      <c r="K385" s="49"/>
      <c r="L385" s="49" t="s">
        <v>3</v>
      </c>
      <c r="M385" s="49"/>
      <c r="N385" s="71"/>
      <c r="O385" s="45"/>
      <c r="P385" s="45"/>
      <c r="Q385" s="70"/>
      <c r="R385" s="49" t="s">
        <v>3</v>
      </c>
      <c r="S385" s="49"/>
      <c r="T385" s="71"/>
      <c r="U385" s="49"/>
      <c r="V385" s="39" t="s">
        <v>3</v>
      </c>
      <c r="W385" s="49"/>
      <c r="X385" s="71"/>
      <c r="Y385" s="49"/>
      <c r="Z385" s="49" t="s">
        <v>3</v>
      </c>
      <c r="AA385" s="49"/>
      <c r="AB385" s="71"/>
      <c r="AC385" s="45"/>
      <c r="AD385" s="45"/>
      <c r="AE385" s="70"/>
      <c r="AF385" s="49" t="s">
        <v>3</v>
      </c>
      <c r="AG385" s="49"/>
      <c r="AH385" s="71"/>
      <c r="AI385" s="49"/>
      <c r="AJ385" s="39" t="s">
        <v>3</v>
      </c>
      <c r="AK385" s="49"/>
      <c r="AL385" s="71"/>
      <c r="AM385" s="49"/>
      <c r="AN385" s="49" t="s">
        <v>3</v>
      </c>
      <c r="AP385" s="71"/>
      <c r="AS385" s="70"/>
      <c r="AT385" s="49" t="s">
        <v>3</v>
      </c>
      <c r="AU385" s="49"/>
      <c r="AV385" s="71"/>
      <c r="AW385" s="49"/>
      <c r="AX385" s="39" t="s">
        <v>3</v>
      </c>
      <c r="AY385" s="49"/>
      <c r="AZ385" s="71"/>
      <c r="BA385" s="49"/>
      <c r="BB385" s="49"/>
      <c r="BC385" s="49" t="s">
        <v>3</v>
      </c>
      <c r="BD385" s="71"/>
    </row>
    <row r="386" spans="3:56" ht="12" customHeight="1" x14ac:dyDescent="0.2">
      <c r="C386" s="61"/>
      <c r="D386" s="45" t="s">
        <v>0</v>
      </c>
      <c r="E386" s="67"/>
      <c r="F386" s="45" t="s">
        <v>0</v>
      </c>
      <c r="G386" s="45"/>
      <c r="H386" s="67"/>
      <c r="I386" s="45" t="s">
        <v>0</v>
      </c>
      <c r="J386" s="45"/>
      <c r="K386" s="67"/>
      <c r="L386" s="45" t="s">
        <v>0</v>
      </c>
      <c r="M386" s="45"/>
      <c r="N386" s="67"/>
      <c r="O386" s="45"/>
      <c r="P386" s="45"/>
      <c r="Q386" s="61"/>
      <c r="R386" s="45" t="s">
        <v>0</v>
      </c>
      <c r="S386" s="67"/>
      <c r="T386" s="45" t="s">
        <v>0</v>
      </c>
      <c r="U386" s="45"/>
      <c r="V386" s="67"/>
      <c r="W386" s="45" t="s">
        <v>0</v>
      </c>
      <c r="X386" s="45"/>
      <c r="Y386" s="67"/>
      <c r="Z386" s="45" t="s">
        <v>0</v>
      </c>
      <c r="AA386" s="45"/>
      <c r="AB386" s="67"/>
      <c r="AC386" s="45"/>
      <c r="AD386" s="45"/>
      <c r="AE386" s="61"/>
      <c r="AF386" s="45" t="s">
        <v>0</v>
      </c>
      <c r="AG386" s="67"/>
      <c r="AH386" s="45" t="s">
        <v>0</v>
      </c>
      <c r="AI386" s="45"/>
      <c r="AJ386" s="67"/>
      <c r="AK386" s="45" t="s">
        <v>0</v>
      </c>
      <c r="AL386" s="45"/>
      <c r="AM386" s="67"/>
      <c r="AN386" s="45" t="s">
        <v>0</v>
      </c>
      <c r="AP386" s="67"/>
      <c r="AS386" s="61"/>
      <c r="AT386" s="45" t="s">
        <v>0</v>
      </c>
      <c r="AU386" s="67"/>
      <c r="AV386" s="45" t="s">
        <v>0</v>
      </c>
      <c r="AW386" s="45"/>
      <c r="AX386" s="67"/>
      <c r="AY386" s="45" t="s">
        <v>0</v>
      </c>
      <c r="AZ386" s="45"/>
      <c r="BA386" s="67"/>
      <c r="BB386" s="61"/>
      <c r="BC386" s="45" t="s">
        <v>0</v>
      </c>
      <c r="BD386" s="67"/>
    </row>
    <row r="387" spans="3:56" ht="12" customHeight="1" x14ac:dyDescent="0.2">
      <c r="C387" s="61"/>
      <c r="D387" s="45" t="s">
        <v>1</v>
      </c>
      <c r="E387" s="67"/>
      <c r="F387" s="45" t="s">
        <v>1</v>
      </c>
      <c r="G387" s="45"/>
      <c r="H387" s="67"/>
      <c r="I387" s="45" t="s">
        <v>1</v>
      </c>
      <c r="J387" s="45"/>
      <c r="K387" s="67"/>
      <c r="L387" s="45" t="s">
        <v>1</v>
      </c>
      <c r="M387" s="45"/>
      <c r="N387" s="67"/>
      <c r="O387" s="45"/>
      <c r="P387" s="45"/>
      <c r="Q387" s="61"/>
      <c r="R387" s="45" t="s">
        <v>1</v>
      </c>
      <c r="S387" s="67"/>
      <c r="T387" s="45" t="s">
        <v>1</v>
      </c>
      <c r="U387" s="45"/>
      <c r="V387" s="67"/>
      <c r="W387" s="45" t="s">
        <v>1</v>
      </c>
      <c r="X387" s="45"/>
      <c r="Y387" s="67"/>
      <c r="Z387" s="45" t="s">
        <v>1</v>
      </c>
      <c r="AA387" s="45"/>
      <c r="AB387" s="67"/>
      <c r="AC387" s="45"/>
      <c r="AD387" s="45"/>
      <c r="AE387" s="61"/>
      <c r="AF387" s="45" t="s">
        <v>1</v>
      </c>
      <c r="AG387" s="67"/>
      <c r="AH387" s="45" t="s">
        <v>1</v>
      </c>
      <c r="AI387" s="45"/>
      <c r="AJ387" s="67"/>
      <c r="AK387" s="45" t="s">
        <v>1</v>
      </c>
      <c r="AL387" s="45"/>
      <c r="AM387" s="67"/>
      <c r="AN387" s="45" t="s">
        <v>1</v>
      </c>
      <c r="AP387" s="67"/>
      <c r="AS387" s="61"/>
      <c r="AT387" s="45" t="s">
        <v>1</v>
      </c>
      <c r="AU387" s="67"/>
      <c r="AV387" s="45" t="s">
        <v>1</v>
      </c>
      <c r="AW387" s="45"/>
      <c r="AX387" s="67"/>
      <c r="AY387" s="45" t="s">
        <v>1</v>
      </c>
      <c r="AZ387" s="45"/>
      <c r="BA387" s="67"/>
      <c r="BB387" s="61"/>
      <c r="BC387" s="45" t="s">
        <v>1</v>
      </c>
      <c r="BD387" s="67"/>
    </row>
    <row r="388" spans="3:56" ht="12" customHeight="1" x14ac:dyDescent="0.2">
      <c r="C388" s="61"/>
      <c r="D388" s="45" t="s">
        <v>2</v>
      </c>
      <c r="E388" s="67"/>
      <c r="F388" s="45" t="s">
        <v>2</v>
      </c>
      <c r="G388" s="45"/>
      <c r="H388" s="67"/>
      <c r="I388" s="45" t="s">
        <v>2</v>
      </c>
      <c r="J388" s="45"/>
      <c r="K388" s="67"/>
      <c r="L388" s="45" t="s">
        <v>2</v>
      </c>
      <c r="M388" s="45"/>
      <c r="N388" s="67"/>
      <c r="O388" s="45"/>
      <c r="P388" s="45"/>
      <c r="Q388" s="61"/>
      <c r="R388" s="45" t="s">
        <v>2</v>
      </c>
      <c r="S388" s="67"/>
      <c r="T388" s="45" t="s">
        <v>2</v>
      </c>
      <c r="U388" s="45"/>
      <c r="V388" s="67"/>
      <c r="W388" s="45" t="s">
        <v>2</v>
      </c>
      <c r="X388" s="45"/>
      <c r="Y388" s="67"/>
      <c r="Z388" s="45" t="s">
        <v>2</v>
      </c>
      <c r="AA388" s="45"/>
      <c r="AB388" s="67"/>
      <c r="AC388" s="45"/>
      <c r="AD388" s="45"/>
      <c r="AE388" s="61"/>
      <c r="AF388" s="45" t="s">
        <v>2</v>
      </c>
      <c r="AG388" s="67"/>
      <c r="AH388" s="45" t="s">
        <v>2</v>
      </c>
      <c r="AI388" s="45"/>
      <c r="AJ388" s="67"/>
      <c r="AK388" s="45" t="s">
        <v>2</v>
      </c>
      <c r="AL388" s="45"/>
      <c r="AM388" s="67"/>
      <c r="AN388" s="45" t="s">
        <v>2</v>
      </c>
      <c r="AP388" s="67"/>
      <c r="AS388" s="61"/>
      <c r="AT388" s="45" t="s">
        <v>2</v>
      </c>
      <c r="AU388" s="67"/>
      <c r="AV388" s="45" t="s">
        <v>2</v>
      </c>
      <c r="AW388" s="45"/>
      <c r="AX388" s="67"/>
      <c r="AY388" s="45" t="s">
        <v>2</v>
      </c>
      <c r="AZ388" s="45"/>
      <c r="BA388" s="67"/>
      <c r="BB388" s="61"/>
      <c r="BC388" s="45" t="s">
        <v>2</v>
      </c>
      <c r="BD388" s="67"/>
    </row>
    <row r="389" spans="3:56" ht="12" customHeight="1" x14ac:dyDescent="0.2">
      <c r="C389" s="70"/>
      <c r="D389" s="49" t="s">
        <v>3</v>
      </c>
      <c r="E389" s="71"/>
      <c r="F389" s="49" t="s">
        <v>3</v>
      </c>
      <c r="G389" s="49"/>
      <c r="H389" s="71"/>
      <c r="I389" s="49" t="s">
        <v>3</v>
      </c>
      <c r="J389" s="49"/>
      <c r="K389" s="71"/>
      <c r="L389" s="49" t="s">
        <v>3</v>
      </c>
      <c r="M389" s="49"/>
      <c r="N389" s="71"/>
      <c r="O389" s="45"/>
      <c r="P389" s="45"/>
      <c r="Q389" s="70"/>
      <c r="R389" s="49" t="s">
        <v>3</v>
      </c>
      <c r="S389" s="71"/>
      <c r="T389" s="49" t="s">
        <v>3</v>
      </c>
      <c r="U389" s="49"/>
      <c r="V389" s="71"/>
      <c r="W389" s="49" t="s">
        <v>3</v>
      </c>
      <c r="X389" s="49"/>
      <c r="Y389" s="71"/>
      <c r="Z389" s="49" t="s">
        <v>3</v>
      </c>
      <c r="AA389" s="49"/>
      <c r="AB389" s="71"/>
      <c r="AC389" s="45"/>
      <c r="AD389" s="45"/>
      <c r="AE389" s="70"/>
      <c r="AF389" s="49" t="s">
        <v>3</v>
      </c>
      <c r="AG389" s="71"/>
      <c r="AH389" s="49" t="s">
        <v>3</v>
      </c>
      <c r="AI389" s="49"/>
      <c r="AJ389" s="71"/>
      <c r="AK389" s="49" t="s">
        <v>3</v>
      </c>
      <c r="AL389" s="49"/>
      <c r="AM389" s="71"/>
      <c r="AN389" s="49" t="s">
        <v>3</v>
      </c>
      <c r="AP389" s="71"/>
      <c r="AS389" s="70"/>
      <c r="AT389" s="49" t="s">
        <v>3</v>
      </c>
      <c r="AU389" s="71"/>
      <c r="AV389" s="49" t="s">
        <v>3</v>
      </c>
      <c r="AW389" s="49"/>
      <c r="AX389" s="71"/>
      <c r="AY389" s="49" t="s">
        <v>3</v>
      </c>
      <c r="AZ389" s="49"/>
      <c r="BA389" s="71"/>
      <c r="BB389" s="70"/>
      <c r="BC389" s="49" t="s">
        <v>3</v>
      </c>
      <c r="BD389" s="71"/>
    </row>
    <row r="391" spans="3:56" ht="12" customHeight="1" x14ac:dyDescent="0.2">
      <c r="C391" s="132" t="s">
        <v>66</v>
      </c>
      <c r="D391" s="132"/>
      <c r="E391" s="132"/>
      <c r="F391" s="132"/>
      <c r="G391" s="132"/>
      <c r="H391" s="43"/>
      <c r="I391" s="43"/>
      <c r="J391" s="43"/>
      <c r="K391" s="43"/>
      <c r="L391" s="43"/>
      <c r="M391" s="43"/>
      <c r="N391" s="43"/>
      <c r="O391" s="44"/>
      <c r="P391" s="44"/>
      <c r="Q391" s="44"/>
      <c r="R391" s="44"/>
      <c r="S391" s="44"/>
      <c r="T391" s="44"/>
      <c r="U391" s="44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44"/>
      <c r="AJ391" s="44"/>
      <c r="AK391" s="44"/>
      <c r="AL391" s="44"/>
      <c r="AM391" s="44"/>
      <c r="AN391" s="44"/>
      <c r="AP391" s="44"/>
      <c r="AS391" s="44"/>
      <c r="AT391" s="44"/>
      <c r="AU391" s="44"/>
      <c r="AV391" s="44"/>
      <c r="AW391" s="44"/>
      <c r="AX391" s="44"/>
      <c r="AY391" s="44"/>
      <c r="AZ391" s="44"/>
      <c r="BA391" s="44"/>
      <c r="BB391" s="44"/>
      <c r="BC391" s="44"/>
      <c r="BD391" s="44"/>
    </row>
    <row r="392" spans="3:56" ht="12" customHeight="1" x14ac:dyDescent="0.2">
      <c r="C392" s="133"/>
      <c r="D392" s="133"/>
      <c r="E392" s="133"/>
      <c r="F392" s="133"/>
      <c r="G392" s="133"/>
      <c r="H392" s="44"/>
      <c r="I392" s="44"/>
      <c r="J392" s="44"/>
      <c r="K392" s="44"/>
      <c r="L392" s="44"/>
      <c r="M392" s="44"/>
      <c r="N392" s="44"/>
      <c r="O392" s="44"/>
      <c r="P392" s="44"/>
      <c r="Q392" s="44"/>
      <c r="R392" s="44"/>
      <c r="S392" s="44"/>
      <c r="T392" s="44"/>
      <c r="U392" s="44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44"/>
      <c r="AJ392" s="44"/>
      <c r="AK392" s="44"/>
      <c r="AL392" s="44"/>
      <c r="AM392" s="44"/>
      <c r="AN392" s="44"/>
      <c r="AP392" s="44"/>
      <c r="AS392" s="44"/>
      <c r="AT392" s="44"/>
      <c r="AU392" s="44"/>
      <c r="AV392" s="44"/>
      <c r="AW392" s="44"/>
      <c r="AX392" s="44"/>
      <c r="AY392" s="44"/>
      <c r="AZ392" s="44"/>
      <c r="BA392" s="44"/>
      <c r="BB392" s="44"/>
      <c r="BC392" s="44"/>
      <c r="BD392" s="44"/>
    </row>
    <row r="393" spans="3:56" ht="12" customHeight="1" thickBot="1" x14ac:dyDescent="0.25">
      <c r="C393" s="61"/>
      <c r="D393" s="45" t="s">
        <v>0</v>
      </c>
      <c r="E393" s="45"/>
      <c r="F393" s="62"/>
      <c r="G393" s="45"/>
      <c r="H393" s="46" t="s">
        <v>0</v>
      </c>
      <c r="I393" s="46"/>
      <c r="J393" s="63"/>
      <c r="K393" s="46"/>
      <c r="L393" s="46" t="s">
        <v>0</v>
      </c>
      <c r="M393" s="46"/>
      <c r="N393" s="64"/>
      <c r="O393" s="45"/>
      <c r="P393" s="45"/>
      <c r="Q393" s="65"/>
      <c r="R393" s="46" t="s">
        <v>0</v>
      </c>
      <c r="S393" s="46"/>
      <c r="T393" s="63"/>
      <c r="U393" s="46"/>
      <c r="V393" s="46" t="s">
        <v>0</v>
      </c>
      <c r="W393" s="46"/>
      <c r="X393" s="63"/>
      <c r="Y393" s="46"/>
      <c r="Z393" s="46" t="s">
        <v>0</v>
      </c>
      <c r="AA393" s="46"/>
      <c r="AB393" s="64"/>
      <c r="AC393" s="45"/>
      <c r="AD393" s="45"/>
      <c r="AE393" s="65"/>
      <c r="AF393" s="46" t="s">
        <v>0</v>
      </c>
      <c r="AG393" s="46"/>
      <c r="AH393" s="63"/>
      <c r="AI393" s="46"/>
      <c r="AJ393" s="46" t="s">
        <v>0</v>
      </c>
      <c r="AK393" s="46"/>
      <c r="AL393" s="63"/>
      <c r="AM393" s="81"/>
      <c r="AN393" s="46" t="s">
        <v>0</v>
      </c>
      <c r="AP393" s="64"/>
      <c r="AS393" s="65"/>
      <c r="AT393" s="46" t="s">
        <v>0</v>
      </c>
      <c r="AU393" s="46"/>
      <c r="AV393" s="63"/>
      <c r="AW393" s="46"/>
      <c r="AX393" s="46" t="s">
        <v>0</v>
      </c>
      <c r="AY393" s="46"/>
      <c r="AZ393" s="63"/>
      <c r="BA393" s="81"/>
      <c r="BB393" s="46"/>
      <c r="BC393" s="46" t="s">
        <v>0</v>
      </c>
      <c r="BD393" s="64"/>
    </row>
    <row r="394" spans="3:56" ht="12" customHeight="1" x14ac:dyDescent="0.2">
      <c r="C394" s="61"/>
      <c r="D394" s="45" t="s">
        <v>1</v>
      </c>
      <c r="E394" s="45"/>
      <c r="F394" s="62"/>
      <c r="G394" s="47"/>
      <c r="H394" s="47" t="s">
        <v>1</v>
      </c>
      <c r="I394" s="47"/>
      <c r="J394" s="66"/>
      <c r="K394" s="45"/>
      <c r="L394" s="45" t="s">
        <v>1</v>
      </c>
      <c r="M394" s="45"/>
      <c r="N394" s="67"/>
      <c r="O394" s="45"/>
      <c r="P394" s="45"/>
      <c r="Q394" s="61"/>
      <c r="R394" s="45" t="s">
        <v>1</v>
      </c>
      <c r="S394" s="45"/>
      <c r="T394" s="62"/>
      <c r="U394" s="47"/>
      <c r="V394" s="47" t="s">
        <v>1</v>
      </c>
      <c r="W394" s="47"/>
      <c r="X394" s="66"/>
      <c r="Y394" s="45"/>
      <c r="Z394" s="45" t="s">
        <v>1</v>
      </c>
      <c r="AA394" s="45"/>
      <c r="AB394" s="67"/>
      <c r="AC394" s="45"/>
      <c r="AD394" s="45"/>
      <c r="AE394" s="61"/>
      <c r="AF394" s="45" t="s">
        <v>1</v>
      </c>
      <c r="AG394" s="45"/>
      <c r="AH394" s="62"/>
      <c r="AI394" s="47"/>
      <c r="AJ394" s="47" t="s">
        <v>1</v>
      </c>
      <c r="AK394" s="47"/>
      <c r="AL394" s="66"/>
      <c r="AM394" s="82"/>
      <c r="AN394" s="45" t="s">
        <v>1</v>
      </c>
      <c r="AP394" s="67"/>
      <c r="AS394" s="61"/>
      <c r="AT394" s="45" t="s">
        <v>1</v>
      </c>
      <c r="AU394" s="45"/>
      <c r="AV394" s="62"/>
      <c r="AW394" s="47"/>
      <c r="AX394" s="47" t="s">
        <v>1</v>
      </c>
      <c r="AY394" s="47"/>
      <c r="AZ394" s="66"/>
      <c r="BA394" s="82"/>
      <c r="BB394" s="45"/>
      <c r="BC394" s="45" t="s">
        <v>1</v>
      </c>
      <c r="BD394" s="67"/>
    </row>
    <row r="395" spans="3:56" ht="12" customHeight="1" x14ac:dyDescent="0.2">
      <c r="C395" s="61"/>
      <c r="D395" s="45" t="s">
        <v>2</v>
      </c>
      <c r="E395" s="45"/>
      <c r="F395" s="62"/>
      <c r="G395" s="45"/>
      <c r="H395" s="45" t="s">
        <v>2</v>
      </c>
      <c r="I395" s="45"/>
      <c r="J395" s="62"/>
      <c r="K395" s="45"/>
      <c r="L395" s="45" t="s">
        <v>2</v>
      </c>
      <c r="M395" s="45"/>
      <c r="N395" s="67"/>
      <c r="O395" s="45"/>
      <c r="P395" s="45"/>
      <c r="Q395" s="61"/>
      <c r="R395" s="45" t="s">
        <v>2</v>
      </c>
      <c r="S395" s="45"/>
      <c r="T395" s="62"/>
      <c r="U395" s="45"/>
      <c r="V395" s="45" t="s">
        <v>2</v>
      </c>
      <c r="W395" s="45"/>
      <c r="X395" s="62"/>
      <c r="Y395" s="45"/>
      <c r="Z395" s="45" t="s">
        <v>2</v>
      </c>
      <c r="AA395" s="45"/>
      <c r="AB395" s="67"/>
      <c r="AC395" s="45"/>
      <c r="AD395" s="45"/>
      <c r="AE395" s="61"/>
      <c r="AF395" s="45" t="s">
        <v>2</v>
      </c>
      <c r="AG395" s="45"/>
      <c r="AH395" s="62"/>
      <c r="AI395" s="45"/>
      <c r="AJ395" s="45" t="s">
        <v>2</v>
      </c>
      <c r="AK395" s="45"/>
      <c r="AL395" s="62"/>
      <c r="AM395" s="82"/>
      <c r="AN395" s="45" t="s">
        <v>2</v>
      </c>
      <c r="AP395" s="67"/>
      <c r="AS395" s="61"/>
      <c r="AT395" s="45" t="s">
        <v>2</v>
      </c>
      <c r="AU395" s="45"/>
      <c r="AV395" s="62"/>
      <c r="AW395" s="45"/>
      <c r="AX395" s="45" t="s">
        <v>2</v>
      </c>
      <c r="AY395" s="45"/>
      <c r="AZ395" s="62"/>
      <c r="BA395" s="82"/>
      <c r="BB395" s="45"/>
      <c r="BC395" s="45" t="s">
        <v>2</v>
      </c>
      <c r="BD395" s="67"/>
    </row>
    <row r="396" spans="3:56" ht="12" customHeight="1" thickBot="1" x14ac:dyDescent="0.25">
      <c r="C396" s="61"/>
      <c r="D396" s="45" t="s">
        <v>3</v>
      </c>
      <c r="E396" s="45"/>
      <c r="F396" s="68"/>
      <c r="G396" s="48"/>
      <c r="H396" s="48" t="s">
        <v>3</v>
      </c>
      <c r="I396" s="48"/>
      <c r="J396" s="69"/>
      <c r="K396" s="45"/>
      <c r="L396" s="45" t="s">
        <v>3</v>
      </c>
      <c r="M396" s="45"/>
      <c r="N396" s="67"/>
      <c r="O396" s="45"/>
      <c r="P396" s="45"/>
      <c r="Q396" s="61"/>
      <c r="R396" s="45" t="s">
        <v>3</v>
      </c>
      <c r="S396" s="45"/>
      <c r="T396" s="68"/>
      <c r="U396" s="48"/>
      <c r="V396" s="48" t="s">
        <v>3</v>
      </c>
      <c r="W396" s="48"/>
      <c r="X396" s="69"/>
      <c r="Y396" s="45"/>
      <c r="Z396" s="45" t="s">
        <v>3</v>
      </c>
      <c r="AA396" s="45"/>
      <c r="AB396" s="67"/>
      <c r="AC396" s="45"/>
      <c r="AD396" s="45"/>
      <c r="AE396" s="61"/>
      <c r="AF396" s="45" t="s">
        <v>3</v>
      </c>
      <c r="AG396" s="45"/>
      <c r="AH396" s="68"/>
      <c r="AI396" s="48"/>
      <c r="AJ396" s="48" t="s">
        <v>3</v>
      </c>
      <c r="AK396" s="48"/>
      <c r="AL396" s="69"/>
      <c r="AM396" s="83"/>
      <c r="AN396" s="45" t="s">
        <v>3</v>
      </c>
      <c r="AP396" s="67"/>
      <c r="AS396" s="61"/>
      <c r="AT396" s="45" t="s">
        <v>3</v>
      </c>
      <c r="AU396" s="45"/>
      <c r="AV396" s="68"/>
      <c r="AW396" s="48"/>
      <c r="AX396" s="48" t="s">
        <v>3</v>
      </c>
      <c r="AY396" s="48"/>
      <c r="AZ396" s="69"/>
      <c r="BA396" s="83"/>
      <c r="BB396" s="45"/>
      <c r="BC396" s="45" t="s">
        <v>3</v>
      </c>
      <c r="BD396" s="67"/>
    </row>
    <row r="397" spans="3:56" ht="12" customHeight="1" x14ac:dyDescent="0.2">
      <c r="C397" s="65"/>
      <c r="D397" s="46" t="s">
        <v>0</v>
      </c>
      <c r="E397" s="46"/>
      <c r="F397" s="67"/>
      <c r="G397" s="45"/>
      <c r="H397" s="40" t="s">
        <v>0</v>
      </c>
      <c r="I397" s="45"/>
      <c r="J397" s="62"/>
      <c r="K397" s="46"/>
      <c r="L397" s="46" t="s">
        <v>0</v>
      </c>
      <c r="M397" s="46"/>
      <c r="N397" s="64"/>
      <c r="O397" s="45"/>
      <c r="P397" s="45"/>
      <c r="Q397" s="65"/>
      <c r="R397" s="46" t="s">
        <v>0</v>
      </c>
      <c r="S397" s="46"/>
      <c r="T397" s="67"/>
      <c r="U397" s="45"/>
      <c r="V397" s="40" t="s">
        <v>0</v>
      </c>
      <c r="W397" s="45"/>
      <c r="X397" s="62"/>
      <c r="Y397" s="46"/>
      <c r="Z397" s="46" t="s">
        <v>0</v>
      </c>
      <c r="AA397" s="46"/>
      <c r="AB397" s="64"/>
      <c r="AC397" s="45"/>
      <c r="AD397" s="45"/>
      <c r="AE397" s="65"/>
      <c r="AF397" s="46" t="s">
        <v>0</v>
      </c>
      <c r="AG397" s="46"/>
      <c r="AH397" s="67"/>
      <c r="AI397" s="45"/>
      <c r="AJ397" s="40" t="s">
        <v>0</v>
      </c>
      <c r="AK397" s="45">
        <v>1</v>
      </c>
      <c r="AL397" s="62"/>
      <c r="AM397" s="46"/>
      <c r="AN397" s="46" t="s">
        <v>0</v>
      </c>
      <c r="AP397" s="64"/>
      <c r="AS397" s="65"/>
      <c r="AT397" s="46" t="s">
        <v>0</v>
      </c>
      <c r="AU397" s="46"/>
      <c r="AV397" s="67"/>
      <c r="AW397" s="45"/>
      <c r="AX397" s="40" t="s">
        <v>0</v>
      </c>
      <c r="AY397" s="45"/>
      <c r="AZ397" s="62"/>
      <c r="BA397" s="46"/>
      <c r="BB397" s="46"/>
      <c r="BC397" s="46" t="s">
        <v>0</v>
      </c>
      <c r="BD397" s="64"/>
    </row>
    <row r="398" spans="3:56" ht="12" customHeight="1" x14ac:dyDescent="0.2">
      <c r="C398" s="61"/>
      <c r="D398" s="45" t="s">
        <v>1</v>
      </c>
      <c r="E398" s="45"/>
      <c r="F398" s="67"/>
      <c r="G398" s="45"/>
      <c r="H398" s="38" t="s">
        <v>1</v>
      </c>
      <c r="I398" s="45"/>
      <c r="J398" s="67"/>
      <c r="K398" s="45"/>
      <c r="L398" s="45" t="s">
        <v>1</v>
      </c>
      <c r="M398" s="45"/>
      <c r="N398" s="67"/>
      <c r="O398" s="45"/>
      <c r="P398" s="45"/>
      <c r="Q398" s="61"/>
      <c r="R398" s="45" t="s">
        <v>1</v>
      </c>
      <c r="S398" s="45"/>
      <c r="T398" s="67"/>
      <c r="U398" s="45"/>
      <c r="V398" s="38" t="s">
        <v>1</v>
      </c>
      <c r="W398" s="45">
        <v>1</v>
      </c>
      <c r="X398" s="67"/>
      <c r="Y398" s="45"/>
      <c r="Z398" s="45" t="s">
        <v>1</v>
      </c>
      <c r="AA398" s="45"/>
      <c r="AB398" s="67"/>
      <c r="AC398" s="45"/>
      <c r="AD398" s="45"/>
      <c r="AE398" s="61"/>
      <c r="AF398" s="45" t="s">
        <v>1</v>
      </c>
      <c r="AG398" s="45"/>
      <c r="AH398" s="67"/>
      <c r="AI398" s="45"/>
      <c r="AJ398" s="38" t="s">
        <v>1</v>
      </c>
      <c r="AK398" s="45"/>
      <c r="AL398" s="67"/>
      <c r="AM398" s="45"/>
      <c r="AN398" s="45" t="s">
        <v>1</v>
      </c>
      <c r="AP398" s="67"/>
      <c r="AS398" s="61"/>
      <c r="AT398" s="45" t="s">
        <v>1</v>
      </c>
      <c r="AU398" s="45"/>
      <c r="AV398" s="67"/>
      <c r="AW398" s="45"/>
      <c r="AX398" s="38" t="s">
        <v>1</v>
      </c>
      <c r="AY398" s="45"/>
      <c r="AZ398" s="67"/>
      <c r="BA398" s="45"/>
      <c r="BB398" s="45"/>
      <c r="BC398" s="45" t="s">
        <v>1</v>
      </c>
      <c r="BD398" s="67"/>
    </row>
    <row r="399" spans="3:56" ht="12" customHeight="1" x14ac:dyDescent="0.2">
      <c r="C399" s="61"/>
      <c r="D399" s="45" t="s">
        <v>2</v>
      </c>
      <c r="E399" s="45"/>
      <c r="F399" s="67"/>
      <c r="G399" s="45"/>
      <c r="H399" s="38" t="s">
        <v>2</v>
      </c>
      <c r="I399" s="45"/>
      <c r="J399" s="67"/>
      <c r="K399" s="45"/>
      <c r="L399" s="45" t="s">
        <v>2</v>
      </c>
      <c r="M399" s="45"/>
      <c r="N399" s="67"/>
      <c r="O399" s="45"/>
      <c r="P399" s="45"/>
      <c r="Q399" s="61"/>
      <c r="R399" s="45" t="s">
        <v>2</v>
      </c>
      <c r="S399" s="45"/>
      <c r="T399" s="67"/>
      <c r="U399" s="45"/>
      <c r="V399" s="38" t="s">
        <v>2</v>
      </c>
      <c r="W399" s="45"/>
      <c r="X399" s="67"/>
      <c r="Y399" s="45"/>
      <c r="Z399" s="45" t="s">
        <v>2</v>
      </c>
      <c r="AA399" s="45"/>
      <c r="AB399" s="67"/>
      <c r="AC399" s="45"/>
      <c r="AD399" s="45"/>
      <c r="AE399" s="61"/>
      <c r="AF399" s="45" t="s">
        <v>2</v>
      </c>
      <c r="AG399" s="45"/>
      <c r="AH399" s="67"/>
      <c r="AI399" s="45"/>
      <c r="AJ399" s="38" t="s">
        <v>2</v>
      </c>
      <c r="AK399" s="45">
        <v>1</v>
      </c>
      <c r="AL399" s="67"/>
      <c r="AM399" s="45"/>
      <c r="AN399" s="45" t="s">
        <v>2</v>
      </c>
      <c r="AP399" s="67"/>
      <c r="AS399" s="61"/>
      <c r="AT399" s="45" t="s">
        <v>2</v>
      </c>
      <c r="AU399" s="45"/>
      <c r="AV399" s="67"/>
      <c r="AW399" s="45"/>
      <c r="AX399" s="38" t="s">
        <v>2</v>
      </c>
      <c r="AY399" s="45"/>
      <c r="AZ399" s="67"/>
      <c r="BA399" s="45"/>
      <c r="BB399" s="45"/>
      <c r="BC399" s="45" t="s">
        <v>2</v>
      </c>
      <c r="BD399" s="67"/>
    </row>
    <row r="400" spans="3:56" ht="12" customHeight="1" x14ac:dyDescent="0.2">
      <c r="C400" s="70"/>
      <c r="D400" s="49" t="s">
        <v>3</v>
      </c>
      <c r="E400" s="49"/>
      <c r="F400" s="71"/>
      <c r="G400" s="49"/>
      <c r="H400" s="39" t="s">
        <v>3</v>
      </c>
      <c r="I400" s="49"/>
      <c r="J400" s="71"/>
      <c r="K400" s="49"/>
      <c r="L400" s="49" t="s">
        <v>3</v>
      </c>
      <c r="M400" s="49"/>
      <c r="N400" s="71"/>
      <c r="O400" s="45"/>
      <c r="P400" s="45"/>
      <c r="Q400" s="70"/>
      <c r="R400" s="49" t="s">
        <v>3</v>
      </c>
      <c r="S400" s="49"/>
      <c r="T400" s="71"/>
      <c r="U400" s="49"/>
      <c r="V400" s="39" t="s">
        <v>3</v>
      </c>
      <c r="W400" s="49"/>
      <c r="X400" s="71"/>
      <c r="Y400" s="49"/>
      <c r="Z400" s="49" t="s">
        <v>3</v>
      </c>
      <c r="AA400" s="49"/>
      <c r="AB400" s="71"/>
      <c r="AC400" s="45"/>
      <c r="AD400" s="45"/>
      <c r="AE400" s="70"/>
      <c r="AF400" s="49" t="s">
        <v>3</v>
      </c>
      <c r="AG400" s="49"/>
      <c r="AH400" s="71"/>
      <c r="AI400" s="49"/>
      <c r="AJ400" s="39" t="s">
        <v>3</v>
      </c>
      <c r="AK400" s="49">
        <v>1</v>
      </c>
      <c r="AL400" s="71"/>
      <c r="AM400" s="49"/>
      <c r="AN400" s="49" t="s">
        <v>3</v>
      </c>
      <c r="AP400" s="71"/>
      <c r="AS400" s="70"/>
      <c r="AT400" s="49" t="s">
        <v>3</v>
      </c>
      <c r="AU400" s="49"/>
      <c r="AV400" s="71"/>
      <c r="AW400" s="49"/>
      <c r="AX400" s="39" t="s">
        <v>3</v>
      </c>
      <c r="AY400" s="49"/>
      <c r="AZ400" s="71"/>
      <c r="BA400" s="49"/>
      <c r="BB400" s="49"/>
      <c r="BC400" s="49" t="s">
        <v>3</v>
      </c>
      <c r="BD400" s="71"/>
    </row>
    <row r="401" spans="3:56" ht="12" customHeight="1" x14ac:dyDescent="0.2">
      <c r="C401" s="61"/>
      <c r="D401" s="45" t="s">
        <v>0</v>
      </c>
      <c r="E401" s="67"/>
      <c r="F401" s="45" t="s">
        <v>0</v>
      </c>
      <c r="G401" s="45"/>
      <c r="H401" s="67"/>
      <c r="I401" s="45" t="s">
        <v>0</v>
      </c>
      <c r="J401" s="45"/>
      <c r="K401" s="67"/>
      <c r="L401" s="45" t="s">
        <v>0</v>
      </c>
      <c r="M401" s="45"/>
      <c r="N401" s="67"/>
      <c r="O401" s="45"/>
      <c r="P401" s="45"/>
      <c r="Q401" s="61"/>
      <c r="R401" s="45" t="s">
        <v>0</v>
      </c>
      <c r="S401" s="67"/>
      <c r="T401" s="45" t="s">
        <v>0</v>
      </c>
      <c r="U401" s="45"/>
      <c r="V401" s="67"/>
      <c r="W401" s="45" t="s">
        <v>0</v>
      </c>
      <c r="X401" s="45"/>
      <c r="Y401" s="67"/>
      <c r="Z401" s="45" t="s">
        <v>0</v>
      </c>
      <c r="AA401" s="45"/>
      <c r="AB401" s="67"/>
      <c r="AC401" s="45"/>
      <c r="AD401" s="45"/>
      <c r="AE401" s="61"/>
      <c r="AF401" s="45" t="s">
        <v>0</v>
      </c>
      <c r="AG401" s="67"/>
      <c r="AH401" s="45" t="s">
        <v>0</v>
      </c>
      <c r="AI401" s="45"/>
      <c r="AJ401" s="67"/>
      <c r="AK401" s="45" t="s">
        <v>0</v>
      </c>
      <c r="AL401" s="45"/>
      <c r="AM401" s="67"/>
      <c r="AN401" s="45" t="s">
        <v>0</v>
      </c>
      <c r="AP401" s="67"/>
      <c r="AS401" s="61"/>
      <c r="AT401" s="45" t="s">
        <v>0</v>
      </c>
      <c r="AU401" s="67"/>
      <c r="AV401" s="45" t="s">
        <v>0</v>
      </c>
      <c r="AW401" s="45"/>
      <c r="AX401" s="67"/>
      <c r="AY401" s="45" t="s">
        <v>0</v>
      </c>
      <c r="AZ401" s="45"/>
      <c r="BA401" s="67"/>
      <c r="BB401" s="61"/>
      <c r="BC401" s="45" t="s">
        <v>0</v>
      </c>
      <c r="BD401" s="67"/>
    </row>
    <row r="402" spans="3:56" ht="12" customHeight="1" x14ac:dyDescent="0.2">
      <c r="C402" s="61"/>
      <c r="D402" s="45" t="s">
        <v>1</v>
      </c>
      <c r="E402" s="67"/>
      <c r="F402" s="45" t="s">
        <v>1</v>
      </c>
      <c r="G402" s="45"/>
      <c r="H402" s="67"/>
      <c r="I402" s="45" t="s">
        <v>1</v>
      </c>
      <c r="J402" s="45"/>
      <c r="K402" s="67"/>
      <c r="L402" s="45" t="s">
        <v>1</v>
      </c>
      <c r="M402" s="45"/>
      <c r="N402" s="67"/>
      <c r="O402" s="45"/>
      <c r="P402" s="45"/>
      <c r="Q402" s="61"/>
      <c r="R402" s="45" t="s">
        <v>1</v>
      </c>
      <c r="S402" s="67"/>
      <c r="T402" s="45" t="s">
        <v>1</v>
      </c>
      <c r="U402" s="45"/>
      <c r="V402" s="67"/>
      <c r="W402" s="45" t="s">
        <v>1</v>
      </c>
      <c r="X402" s="45"/>
      <c r="Y402" s="67"/>
      <c r="Z402" s="45" t="s">
        <v>1</v>
      </c>
      <c r="AA402" s="45"/>
      <c r="AB402" s="67"/>
      <c r="AC402" s="45"/>
      <c r="AD402" s="45"/>
      <c r="AE402" s="61"/>
      <c r="AF402" s="45" t="s">
        <v>1</v>
      </c>
      <c r="AG402" s="67"/>
      <c r="AH402" s="45" t="s">
        <v>1</v>
      </c>
      <c r="AI402" s="45"/>
      <c r="AJ402" s="67"/>
      <c r="AK402" s="45" t="s">
        <v>1</v>
      </c>
      <c r="AL402" s="45"/>
      <c r="AM402" s="67"/>
      <c r="AN402" s="45" t="s">
        <v>1</v>
      </c>
      <c r="AP402" s="67"/>
      <c r="AS402" s="61"/>
      <c r="AT402" s="45" t="s">
        <v>1</v>
      </c>
      <c r="AU402" s="67"/>
      <c r="AV402" s="45" t="s">
        <v>1</v>
      </c>
      <c r="AW402" s="45"/>
      <c r="AX402" s="67"/>
      <c r="AY402" s="45" t="s">
        <v>1</v>
      </c>
      <c r="AZ402" s="45"/>
      <c r="BA402" s="67"/>
      <c r="BB402" s="61"/>
      <c r="BC402" s="45" t="s">
        <v>1</v>
      </c>
      <c r="BD402" s="67"/>
    </row>
    <row r="403" spans="3:56" ht="12" customHeight="1" x14ac:dyDescent="0.2">
      <c r="C403" s="61"/>
      <c r="D403" s="45" t="s">
        <v>2</v>
      </c>
      <c r="E403" s="67"/>
      <c r="F403" s="45" t="s">
        <v>2</v>
      </c>
      <c r="G403" s="45"/>
      <c r="H403" s="67"/>
      <c r="I403" s="45" t="s">
        <v>2</v>
      </c>
      <c r="J403" s="45"/>
      <c r="K403" s="67"/>
      <c r="L403" s="45" t="s">
        <v>2</v>
      </c>
      <c r="M403" s="45"/>
      <c r="N403" s="67"/>
      <c r="O403" s="45"/>
      <c r="P403" s="45"/>
      <c r="Q403" s="61"/>
      <c r="R403" s="45" t="s">
        <v>2</v>
      </c>
      <c r="S403" s="67"/>
      <c r="T403" s="45" t="s">
        <v>2</v>
      </c>
      <c r="U403" s="45"/>
      <c r="V403" s="67"/>
      <c r="W403" s="45" t="s">
        <v>2</v>
      </c>
      <c r="X403" s="45"/>
      <c r="Y403" s="67"/>
      <c r="Z403" s="45" t="s">
        <v>2</v>
      </c>
      <c r="AA403" s="45"/>
      <c r="AB403" s="67"/>
      <c r="AC403" s="45"/>
      <c r="AD403" s="45"/>
      <c r="AE403" s="61"/>
      <c r="AF403" s="45" t="s">
        <v>2</v>
      </c>
      <c r="AG403" s="67"/>
      <c r="AH403" s="45" t="s">
        <v>2</v>
      </c>
      <c r="AI403" s="45"/>
      <c r="AJ403" s="67"/>
      <c r="AK403" s="45" t="s">
        <v>2</v>
      </c>
      <c r="AL403" s="45"/>
      <c r="AM403" s="67"/>
      <c r="AN403" s="45" t="s">
        <v>2</v>
      </c>
      <c r="AP403" s="67"/>
      <c r="AS403" s="61"/>
      <c r="AT403" s="45" t="s">
        <v>2</v>
      </c>
      <c r="AU403" s="67"/>
      <c r="AV403" s="45" t="s">
        <v>2</v>
      </c>
      <c r="AW403" s="45"/>
      <c r="AX403" s="67"/>
      <c r="AY403" s="45" t="s">
        <v>2</v>
      </c>
      <c r="AZ403" s="45"/>
      <c r="BA403" s="67"/>
      <c r="BB403" s="61"/>
      <c r="BC403" s="45" t="s">
        <v>2</v>
      </c>
      <c r="BD403" s="67"/>
    </row>
    <row r="404" spans="3:56" ht="12" customHeight="1" x14ac:dyDescent="0.2">
      <c r="C404" s="70"/>
      <c r="D404" s="49" t="s">
        <v>3</v>
      </c>
      <c r="E404" s="71"/>
      <c r="F404" s="49" t="s">
        <v>3</v>
      </c>
      <c r="G404" s="49"/>
      <c r="H404" s="71"/>
      <c r="I404" s="49" t="s">
        <v>3</v>
      </c>
      <c r="J404" s="49"/>
      <c r="K404" s="71"/>
      <c r="L404" s="49" t="s">
        <v>3</v>
      </c>
      <c r="M404" s="49"/>
      <c r="N404" s="71"/>
      <c r="O404" s="45"/>
      <c r="P404" s="45"/>
      <c r="Q404" s="70"/>
      <c r="R404" s="49" t="s">
        <v>3</v>
      </c>
      <c r="S404" s="71"/>
      <c r="T404" s="49" t="s">
        <v>3</v>
      </c>
      <c r="U404" s="49"/>
      <c r="V404" s="71"/>
      <c r="W404" s="49" t="s">
        <v>3</v>
      </c>
      <c r="X404" s="49"/>
      <c r="Y404" s="71"/>
      <c r="Z404" s="49" t="s">
        <v>3</v>
      </c>
      <c r="AA404" s="49"/>
      <c r="AB404" s="71"/>
      <c r="AC404" s="45"/>
      <c r="AD404" s="45"/>
      <c r="AE404" s="70"/>
      <c r="AF404" s="49" t="s">
        <v>3</v>
      </c>
      <c r="AG404" s="71"/>
      <c r="AH404" s="49" t="s">
        <v>3</v>
      </c>
      <c r="AI404" s="49"/>
      <c r="AJ404" s="71"/>
      <c r="AK404" s="49" t="s">
        <v>3</v>
      </c>
      <c r="AL404" s="49"/>
      <c r="AM404" s="71"/>
      <c r="AN404" s="49" t="s">
        <v>3</v>
      </c>
      <c r="AP404" s="71"/>
      <c r="AS404" s="70"/>
      <c r="AT404" s="49" t="s">
        <v>3</v>
      </c>
      <c r="AU404" s="71"/>
      <c r="AV404" s="49" t="s">
        <v>3</v>
      </c>
      <c r="AW404" s="49"/>
      <c r="AX404" s="71"/>
      <c r="AY404" s="49" t="s">
        <v>3</v>
      </c>
      <c r="AZ404" s="49"/>
      <c r="BA404" s="71"/>
      <c r="BB404" s="70"/>
      <c r="BC404" s="49" t="s">
        <v>3</v>
      </c>
      <c r="BD404" s="71"/>
    </row>
    <row r="406" spans="3:56" ht="12" customHeight="1" x14ac:dyDescent="0.2">
      <c r="C406" s="132" t="s">
        <v>56</v>
      </c>
      <c r="D406" s="132"/>
      <c r="E406" s="132"/>
      <c r="F406" s="132"/>
      <c r="G406" s="132"/>
      <c r="H406" s="43"/>
      <c r="I406" s="43"/>
      <c r="J406" s="43"/>
      <c r="K406" s="43"/>
      <c r="L406" s="43"/>
      <c r="M406" s="43"/>
      <c r="N406" s="43"/>
      <c r="O406" s="44"/>
      <c r="P406" s="44"/>
      <c r="Q406" s="44"/>
      <c r="R406" s="44"/>
      <c r="S406" s="44"/>
      <c r="T406" s="44"/>
      <c r="U406" s="44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44"/>
      <c r="AJ406" s="44"/>
      <c r="AK406" s="44"/>
      <c r="AL406" s="44"/>
      <c r="AM406" s="44"/>
      <c r="AN406" s="44"/>
      <c r="AP406" s="44"/>
      <c r="AS406" s="44"/>
      <c r="AT406" s="44"/>
      <c r="AU406" s="44"/>
      <c r="AV406" s="44"/>
      <c r="AW406" s="44"/>
      <c r="AX406" s="44"/>
      <c r="AY406" s="44"/>
      <c r="AZ406" s="44"/>
      <c r="BA406" s="44"/>
      <c r="BB406" s="44"/>
      <c r="BC406" s="44"/>
      <c r="BD406" s="44"/>
    </row>
    <row r="407" spans="3:56" ht="12" customHeight="1" x14ac:dyDescent="0.2">
      <c r="C407" s="133"/>
      <c r="D407" s="133"/>
      <c r="E407" s="133"/>
      <c r="F407" s="133"/>
      <c r="G407" s="133"/>
      <c r="H407" s="44"/>
      <c r="I407" s="44"/>
      <c r="J407" s="44"/>
      <c r="K407" s="44"/>
      <c r="L407" s="44"/>
      <c r="M407" s="44"/>
      <c r="N407" s="44"/>
      <c r="O407" s="44"/>
      <c r="P407" s="44"/>
      <c r="Q407" s="44"/>
      <c r="R407" s="44"/>
      <c r="S407" s="44"/>
      <c r="T407" s="44"/>
      <c r="U407" s="44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44"/>
      <c r="AJ407" s="44"/>
      <c r="AK407" s="44"/>
      <c r="AL407" s="44"/>
      <c r="AM407" s="44"/>
      <c r="AN407" s="44"/>
      <c r="AP407" s="44"/>
      <c r="AS407" s="44"/>
      <c r="AT407" s="44"/>
      <c r="AU407" s="44"/>
      <c r="AV407" s="44"/>
      <c r="AW407" s="44"/>
      <c r="AX407" s="44"/>
      <c r="AY407" s="44"/>
      <c r="AZ407" s="44"/>
      <c r="BA407" s="44"/>
      <c r="BB407" s="44"/>
      <c r="BC407" s="44"/>
      <c r="BD407" s="44"/>
    </row>
    <row r="408" spans="3:56" ht="12" customHeight="1" thickBot="1" x14ac:dyDescent="0.25">
      <c r="C408" s="61"/>
      <c r="D408" s="45" t="s">
        <v>0</v>
      </c>
      <c r="E408" s="45"/>
      <c r="F408" s="62"/>
      <c r="G408" s="45"/>
      <c r="H408" s="46" t="s">
        <v>0</v>
      </c>
      <c r="I408" s="46"/>
      <c r="J408" s="63"/>
      <c r="K408" s="46"/>
      <c r="L408" s="46" t="s">
        <v>0</v>
      </c>
      <c r="M408" s="46"/>
      <c r="N408" s="64"/>
      <c r="O408" s="45"/>
      <c r="P408" s="45"/>
      <c r="Q408" s="65"/>
      <c r="R408" s="46" t="s">
        <v>0</v>
      </c>
      <c r="S408" s="46"/>
      <c r="T408" s="63"/>
      <c r="U408" s="46"/>
      <c r="V408" s="46" t="s">
        <v>0</v>
      </c>
      <c r="W408" s="46"/>
      <c r="X408" s="63"/>
      <c r="Y408" s="46"/>
      <c r="Z408" s="46" t="s">
        <v>0</v>
      </c>
      <c r="AA408" s="46"/>
      <c r="AB408" s="64"/>
      <c r="AC408" s="45"/>
      <c r="AD408" s="45"/>
      <c r="AE408" s="65"/>
      <c r="AF408" s="46" t="s">
        <v>0</v>
      </c>
      <c r="AG408" s="46"/>
      <c r="AH408" s="63"/>
      <c r="AI408" s="46"/>
      <c r="AJ408" s="46" t="s">
        <v>0</v>
      </c>
      <c r="AK408" s="46"/>
      <c r="AL408" s="63"/>
      <c r="AM408" s="81"/>
      <c r="AN408" s="46" t="s">
        <v>0</v>
      </c>
      <c r="AP408" s="64"/>
      <c r="AS408" s="65"/>
      <c r="AT408" s="46" t="s">
        <v>0</v>
      </c>
      <c r="AU408" s="46"/>
      <c r="AV408" s="63"/>
      <c r="AW408" s="46"/>
      <c r="AX408" s="46" t="s">
        <v>0</v>
      </c>
      <c r="AY408" s="46"/>
      <c r="AZ408" s="63"/>
      <c r="BA408" s="81"/>
      <c r="BB408" s="46"/>
      <c r="BC408" s="46" t="s">
        <v>0</v>
      </c>
      <c r="BD408" s="64"/>
    </row>
    <row r="409" spans="3:56" ht="12" customHeight="1" x14ac:dyDescent="0.2">
      <c r="C409" s="61"/>
      <c r="D409" s="45" t="s">
        <v>1</v>
      </c>
      <c r="E409" s="45"/>
      <c r="F409" s="62"/>
      <c r="G409" s="47"/>
      <c r="H409" s="47" t="s">
        <v>1</v>
      </c>
      <c r="I409" s="47"/>
      <c r="J409" s="66"/>
      <c r="K409" s="45"/>
      <c r="L409" s="45" t="s">
        <v>1</v>
      </c>
      <c r="M409" s="45"/>
      <c r="N409" s="67"/>
      <c r="O409" s="45"/>
      <c r="P409" s="45"/>
      <c r="Q409" s="61"/>
      <c r="R409" s="45" t="s">
        <v>1</v>
      </c>
      <c r="S409" s="45"/>
      <c r="T409" s="62"/>
      <c r="U409" s="47"/>
      <c r="V409" s="47" t="s">
        <v>1</v>
      </c>
      <c r="W409" s="47"/>
      <c r="X409" s="66"/>
      <c r="Y409" s="45"/>
      <c r="Z409" s="45" t="s">
        <v>1</v>
      </c>
      <c r="AA409" s="45"/>
      <c r="AB409" s="67"/>
      <c r="AC409" s="45"/>
      <c r="AD409" s="45"/>
      <c r="AE409" s="61"/>
      <c r="AF409" s="45" t="s">
        <v>1</v>
      </c>
      <c r="AG409" s="45"/>
      <c r="AH409" s="62"/>
      <c r="AI409" s="47"/>
      <c r="AJ409" s="47" t="s">
        <v>1</v>
      </c>
      <c r="AK409" s="47"/>
      <c r="AL409" s="66"/>
      <c r="AM409" s="82"/>
      <c r="AN409" s="45" t="s">
        <v>1</v>
      </c>
      <c r="AP409" s="67"/>
      <c r="AS409" s="61"/>
      <c r="AT409" s="45" t="s">
        <v>1</v>
      </c>
      <c r="AU409" s="45"/>
      <c r="AV409" s="62"/>
      <c r="AW409" s="47"/>
      <c r="AX409" s="47" t="s">
        <v>1</v>
      </c>
      <c r="AY409" s="47"/>
      <c r="AZ409" s="66"/>
      <c r="BA409" s="82"/>
      <c r="BB409" s="45"/>
      <c r="BC409" s="45" t="s">
        <v>1</v>
      </c>
      <c r="BD409" s="67"/>
    </row>
    <row r="410" spans="3:56" ht="12" customHeight="1" x14ac:dyDescent="0.2">
      <c r="C410" s="61"/>
      <c r="D410" s="45" t="s">
        <v>2</v>
      </c>
      <c r="E410" s="45"/>
      <c r="F410" s="62"/>
      <c r="G410" s="45"/>
      <c r="H410" s="45" t="s">
        <v>2</v>
      </c>
      <c r="I410" s="45"/>
      <c r="J410" s="62"/>
      <c r="K410" s="45"/>
      <c r="L410" s="45" t="s">
        <v>2</v>
      </c>
      <c r="M410" s="45"/>
      <c r="N410" s="67"/>
      <c r="O410" s="45"/>
      <c r="P410" s="45"/>
      <c r="Q410" s="61"/>
      <c r="R410" s="45" t="s">
        <v>2</v>
      </c>
      <c r="S410" s="45"/>
      <c r="T410" s="62"/>
      <c r="U410" s="45"/>
      <c r="V410" s="45" t="s">
        <v>2</v>
      </c>
      <c r="W410" s="45"/>
      <c r="X410" s="62"/>
      <c r="Y410" s="45"/>
      <c r="Z410" s="45" t="s">
        <v>2</v>
      </c>
      <c r="AA410" s="45"/>
      <c r="AB410" s="67"/>
      <c r="AC410" s="45"/>
      <c r="AD410" s="45"/>
      <c r="AE410" s="61"/>
      <c r="AF410" s="45" t="s">
        <v>2</v>
      </c>
      <c r="AG410" s="45"/>
      <c r="AH410" s="62"/>
      <c r="AI410" s="45"/>
      <c r="AJ410" s="45" t="s">
        <v>2</v>
      </c>
      <c r="AK410" s="45"/>
      <c r="AL410" s="62"/>
      <c r="AM410" s="82"/>
      <c r="AN410" s="45" t="s">
        <v>2</v>
      </c>
      <c r="AP410" s="67"/>
      <c r="AS410" s="61"/>
      <c r="AT410" s="45" t="s">
        <v>2</v>
      </c>
      <c r="AU410" s="45"/>
      <c r="AV410" s="62"/>
      <c r="AW410" s="45"/>
      <c r="AX410" s="45" t="s">
        <v>2</v>
      </c>
      <c r="AY410" s="45"/>
      <c r="AZ410" s="62"/>
      <c r="BA410" s="82"/>
      <c r="BB410" s="45"/>
      <c r="BC410" s="45" t="s">
        <v>2</v>
      </c>
      <c r="BD410" s="67"/>
    </row>
    <row r="411" spans="3:56" ht="12" customHeight="1" thickBot="1" x14ac:dyDescent="0.25">
      <c r="C411" s="61"/>
      <c r="D411" s="45" t="s">
        <v>3</v>
      </c>
      <c r="E411" s="45"/>
      <c r="F411" s="68"/>
      <c r="G411" s="48"/>
      <c r="H411" s="48" t="s">
        <v>3</v>
      </c>
      <c r="I411" s="48"/>
      <c r="J411" s="69"/>
      <c r="K411" s="45"/>
      <c r="L411" s="45" t="s">
        <v>3</v>
      </c>
      <c r="M411" s="45"/>
      <c r="N411" s="67"/>
      <c r="O411" s="45"/>
      <c r="P411" s="45"/>
      <c r="Q411" s="61"/>
      <c r="R411" s="45" t="s">
        <v>3</v>
      </c>
      <c r="S411" s="45"/>
      <c r="T411" s="68"/>
      <c r="U411" s="48"/>
      <c r="V411" s="48" t="s">
        <v>3</v>
      </c>
      <c r="W411" s="48"/>
      <c r="X411" s="69"/>
      <c r="Y411" s="45"/>
      <c r="Z411" s="45" t="s">
        <v>3</v>
      </c>
      <c r="AA411" s="45"/>
      <c r="AB411" s="67"/>
      <c r="AC411" s="45"/>
      <c r="AD411" s="45"/>
      <c r="AE411" s="61"/>
      <c r="AF411" s="45" t="s">
        <v>3</v>
      </c>
      <c r="AG411" s="45"/>
      <c r="AH411" s="68"/>
      <c r="AI411" s="48"/>
      <c r="AJ411" s="48" t="s">
        <v>3</v>
      </c>
      <c r="AK411" s="48"/>
      <c r="AL411" s="69"/>
      <c r="AM411" s="83"/>
      <c r="AN411" s="45" t="s">
        <v>3</v>
      </c>
      <c r="AP411" s="67"/>
      <c r="AS411" s="61"/>
      <c r="AT411" s="45" t="s">
        <v>3</v>
      </c>
      <c r="AU411" s="45"/>
      <c r="AV411" s="68"/>
      <c r="AW411" s="48"/>
      <c r="AX411" s="48" t="s">
        <v>3</v>
      </c>
      <c r="AY411" s="48"/>
      <c r="AZ411" s="69"/>
      <c r="BA411" s="83"/>
      <c r="BB411" s="49"/>
      <c r="BC411" s="45" t="s">
        <v>3</v>
      </c>
      <c r="BD411" s="67"/>
    </row>
    <row r="412" spans="3:56" ht="12" customHeight="1" x14ac:dyDescent="0.2">
      <c r="C412" s="65"/>
      <c r="D412" s="46" t="s">
        <v>0</v>
      </c>
      <c r="E412" s="46"/>
      <c r="F412" s="67"/>
      <c r="G412" s="45"/>
      <c r="H412" s="40" t="s">
        <v>0</v>
      </c>
      <c r="I412" s="45"/>
      <c r="J412" s="62"/>
      <c r="K412" s="46"/>
      <c r="L412" s="46" t="s">
        <v>0</v>
      </c>
      <c r="M412" s="46"/>
      <c r="N412" s="64"/>
      <c r="O412" s="45"/>
      <c r="P412" s="45"/>
      <c r="Q412" s="65"/>
      <c r="R412" s="46" t="s">
        <v>0</v>
      </c>
      <c r="S412" s="46"/>
      <c r="T412" s="67"/>
      <c r="U412" s="45"/>
      <c r="V412" s="40" t="s">
        <v>0</v>
      </c>
      <c r="W412" s="45"/>
      <c r="X412" s="62"/>
      <c r="Y412" s="46"/>
      <c r="Z412" s="46" t="s">
        <v>0</v>
      </c>
      <c r="AA412" s="46"/>
      <c r="AB412" s="64"/>
      <c r="AC412" s="45"/>
      <c r="AD412" s="45"/>
      <c r="AE412" s="65"/>
      <c r="AF412" s="46" t="s">
        <v>0</v>
      </c>
      <c r="AG412" s="46"/>
      <c r="AH412" s="67"/>
      <c r="AI412" s="45"/>
      <c r="AJ412" s="40" t="s">
        <v>0</v>
      </c>
      <c r="AK412" s="45"/>
      <c r="AL412" s="62"/>
      <c r="AM412" s="46"/>
      <c r="AN412" s="46" t="s">
        <v>0</v>
      </c>
      <c r="AP412" s="64"/>
      <c r="AS412" s="65"/>
      <c r="AT412" s="46" t="s">
        <v>0</v>
      </c>
      <c r="AU412" s="46"/>
      <c r="AV412" s="67"/>
      <c r="AW412" s="45"/>
      <c r="AX412" s="40" t="s">
        <v>0</v>
      </c>
      <c r="AY412" s="45"/>
      <c r="AZ412" s="62"/>
      <c r="BA412" s="46"/>
      <c r="BB412" s="46"/>
      <c r="BC412" s="46" t="s">
        <v>0</v>
      </c>
      <c r="BD412" s="64"/>
    </row>
    <row r="413" spans="3:56" ht="12" customHeight="1" x14ac:dyDescent="0.2">
      <c r="C413" s="61"/>
      <c r="D413" s="45" t="s">
        <v>1</v>
      </c>
      <c r="E413" s="45"/>
      <c r="F413" s="67"/>
      <c r="G413" s="45"/>
      <c r="H413" s="38" t="s">
        <v>1</v>
      </c>
      <c r="I413" s="45"/>
      <c r="J413" s="67"/>
      <c r="K413" s="45"/>
      <c r="L413" s="45" t="s">
        <v>1</v>
      </c>
      <c r="M413" s="45"/>
      <c r="N413" s="67"/>
      <c r="O413" s="45"/>
      <c r="P413" s="45"/>
      <c r="Q413" s="61"/>
      <c r="R413" s="45" t="s">
        <v>1</v>
      </c>
      <c r="S413" s="45"/>
      <c r="T413" s="67"/>
      <c r="U413" s="45"/>
      <c r="V413" s="38" t="s">
        <v>1</v>
      </c>
      <c r="W413" s="45"/>
      <c r="X413" s="67"/>
      <c r="Y413" s="45"/>
      <c r="Z413" s="45" t="s">
        <v>1</v>
      </c>
      <c r="AA413" s="45"/>
      <c r="AB413" s="67"/>
      <c r="AC413" s="45"/>
      <c r="AD413" s="45"/>
      <c r="AE413" s="61"/>
      <c r="AF413" s="45" t="s">
        <v>1</v>
      </c>
      <c r="AG413" s="45"/>
      <c r="AH413" s="67"/>
      <c r="AI413" s="45"/>
      <c r="AJ413" s="38" t="s">
        <v>1</v>
      </c>
      <c r="AK413" s="45"/>
      <c r="AL413" s="67"/>
      <c r="AM413" s="45"/>
      <c r="AN413" s="45" t="s">
        <v>1</v>
      </c>
      <c r="AP413" s="67"/>
      <c r="AS413" s="61"/>
      <c r="AT413" s="45" t="s">
        <v>1</v>
      </c>
      <c r="AU413" s="45"/>
      <c r="AV413" s="67"/>
      <c r="AW413" s="45"/>
      <c r="AX413" s="38" t="s">
        <v>1</v>
      </c>
      <c r="AY413" s="45"/>
      <c r="AZ413" s="67"/>
      <c r="BA413" s="45"/>
      <c r="BB413" s="45"/>
      <c r="BC413" s="45" t="s">
        <v>1</v>
      </c>
      <c r="BD413" s="67"/>
    </row>
    <row r="414" spans="3:56" ht="12" customHeight="1" x14ac:dyDescent="0.2">
      <c r="C414" s="61"/>
      <c r="D414" s="45" t="s">
        <v>2</v>
      </c>
      <c r="E414" s="45"/>
      <c r="F414" s="67"/>
      <c r="G414" s="45"/>
      <c r="H414" s="38" t="s">
        <v>2</v>
      </c>
      <c r="I414" s="45"/>
      <c r="J414" s="67"/>
      <c r="K414" s="45"/>
      <c r="L414" s="45" t="s">
        <v>2</v>
      </c>
      <c r="M414" s="45"/>
      <c r="N414" s="67"/>
      <c r="O414" s="45"/>
      <c r="P414" s="45"/>
      <c r="Q414" s="61"/>
      <c r="R414" s="45" t="s">
        <v>2</v>
      </c>
      <c r="S414" s="45"/>
      <c r="T414" s="67"/>
      <c r="U414" s="45"/>
      <c r="V414" s="38" t="s">
        <v>2</v>
      </c>
      <c r="W414" s="45"/>
      <c r="X414" s="67"/>
      <c r="Y414" s="45"/>
      <c r="Z414" s="45" t="s">
        <v>2</v>
      </c>
      <c r="AA414" s="45"/>
      <c r="AB414" s="67"/>
      <c r="AC414" s="45"/>
      <c r="AD414" s="45"/>
      <c r="AE414" s="61"/>
      <c r="AF414" s="45" t="s">
        <v>2</v>
      </c>
      <c r="AG414" s="45"/>
      <c r="AH414" s="67"/>
      <c r="AI414" s="45"/>
      <c r="AJ414" s="38" t="s">
        <v>2</v>
      </c>
      <c r="AK414" s="45"/>
      <c r="AL414" s="67"/>
      <c r="AM414" s="45"/>
      <c r="AN414" s="45" t="s">
        <v>2</v>
      </c>
      <c r="AP414" s="67"/>
      <c r="AS414" s="61"/>
      <c r="AT414" s="45" t="s">
        <v>2</v>
      </c>
      <c r="AU414" s="45"/>
      <c r="AV414" s="67"/>
      <c r="AW414" s="45"/>
      <c r="AX414" s="38" t="s">
        <v>2</v>
      </c>
      <c r="AY414" s="45"/>
      <c r="AZ414" s="67"/>
      <c r="BA414" s="45"/>
      <c r="BB414" s="45"/>
      <c r="BC414" s="45" t="s">
        <v>2</v>
      </c>
      <c r="BD414" s="67"/>
    </row>
    <row r="415" spans="3:56" ht="12" customHeight="1" x14ac:dyDescent="0.2">
      <c r="C415" s="70"/>
      <c r="D415" s="49" t="s">
        <v>3</v>
      </c>
      <c r="E415" s="49"/>
      <c r="F415" s="71"/>
      <c r="G415" s="49"/>
      <c r="H415" s="39" t="s">
        <v>3</v>
      </c>
      <c r="I415" s="49"/>
      <c r="J415" s="71"/>
      <c r="K415" s="49"/>
      <c r="L415" s="49" t="s">
        <v>3</v>
      </c>
      <c r="M415" s="49"/>
      <c r="N415" s="71"/>
      <c r="O415" s="45"/>
      <c r="P415" s="45"/>
      <c r="Q415" s="70"/>
      <c r="R415" s="49" t="s">
        <v>3</v>
      </c>
      <c r="S415" s="49"/>
      <c r="T415" s="71"/>
      <c r="U415" s="49"/>
      <c r="V415" s="39" t="s">
        <v>3</v>
      </c>
      <c r="W415" s="49"/>
      <c r="X415" s="71"/>
      <c r="Y415" s="49"/>
      <c r="Z415" s="49" t="s">
        <v>3</v>
      </c>
      <c r="AA415" s="49"/>
      <c r="AB415" s="71"/>
      <c r="AC415" s="45"/>
      <c r="AD415" s="45"/>
      <c r="AE415" s="70"/>
      <c r="AF415" s="49" t="s">
        <v>3</v>
      </c>
      <c r="AG415" s="49"/>
      <c r="AH415" s="71"/>
      <c r="AI415" s="49"/>
      <c r="AJ415" s="39" t="s">
        <v>3</v>
      </c>
      <c r="AK415" s="49"/>
      <c r="AL415" s="71"/>
      <c r="AM415" s="49"/>
      <c r="AN415" s="49" t="s">
        <v>3</v>
      </c>
      <c r="AP415" s="71"/>
      <c r="AS415" s="70"/>
      <c r="AT415" s="49" t="s">
        <v>3</v>
      </c>
      <c r="AU415" s="49"/>
      <c r="AV415" s="71"/>
      <c r="AW415" s="49"/>
      <c r="AX415" s="39" t="s">
        <v>3</v>
      </c>
      <c r="AY415" s="49"/>
      <c r="AZ415" s="71"/>
      <c r="BA415" s="49"/>
      <c r="BB415" s="49"/>
      <c r="BC415" s="49" t="s">
        <v>3</v>
      </c>
      <c r="BD415" s="71"/>
    </row>
    <row r="416" spans="3:56" ht="12" customHeight="1" x14ac:dyDescent="0.2">
      <c r="C416" s="61"/>
      <c r="D416" s="45" t="s">
        <v>0</v>
      </c>
      <c r="E416" s="67"/>
      <c r="F416" s="45" t="s">
        <v>0</v>
      </c>
      <c r="G416" s="45"/>
      <c r="H416" s="67"/>
      <c r="I416" s="45" t="s">
        <v>0</v>
      </c>
      <c r="J416" s="45"/>
      <c r="K416" s="67"/>
      <c r="L416" s="45" t="s">
        <v>0</v>
      </c>
      <c r="M416" s="45"/>
      <c r="N416" s="67"/>
      <c r="O416" s="45"/>
      <c r="P416" s="45"/>
      <c r="Q416" s="61"/>
      <c r="R416" s="45" t="s">
        <v>0</v>
      </c>
      <c r="S416" s="67"/>
      <c r="T416" s="45" t="s">
        <v>0</v>
      </c>
      <c r="U416" s="45"/>
      <c r="V416" s="67"/>
      <c r="W416" s="45" t="s">
        <v>0</v>
      </c>
      <c r="X416" s="45"/>
      <c r="Y416" s="67"/>
      <c r="Z416" s="45" t="s">
        <v>0</v>
      </c>
      <c r="AA416" s="45"/>
      <c r="AB416" s="67"/>
      <c r="AC416" s="45"/>
      <c r="AD416" s="45"/>
      <c r="AE416" s="61"/>
      <c r="AF416" s="45" t="s">
        <v>0</v>
      </c>
      <c r="AG416" s="67"/>
      <c r="AH416" s="45" t="s">
        <v>0</v>
      </c>
      <c r="AI416" s="45"/>
      <c r="AJ416" s="67"/>
      <c r="AK416" s="45" t="s">
        <v>0</v>
      </c>
      <c r="AL416" s="45"/>
      <c r="AM416" s="67"/>
      <c r="AN416" s="45" t="s">
        <v>0</v>
      </c>
      <c r="AP416" s="67"/>
      <c r="AS416" s="61"/>
      <c r="AT416" s="45" t="s">
        <v>0</v>
      </c>
      <c r="AU416" s="67"/>
      <c r="AV416" s="45" t="s">
        <v>0</v>
      </c>
      <c r="AW416" s="45"/>
      <c r="AX416" s="67"/>
      <c r="AY416" s="45" t="s">
        <v>0</v>
      </c>
      <c r="AZ416" s="45"/>
      <c r="BA416" s="67"/>
      <c r="BB416" s="61"/>
      <c r="BC416" s="45" t="s">
        <v>0</v>
      </c>
      <c r="BD416" s="67"/>
    </row>
    <row r="417" spans="3:56" ht="12" customHeight="1" x14ac:dyDescent="0.2">
      <c r="C417" s="61"/>
      <c r="D417" s="45" t="s">
        <v>1</v>
      </c>
      <c r="E417" s="67"/>
      <c r="F417" s="45" t="s">
        <v>1</v>
      </c>
      <c r="G417" s="45"/>
      <c r="H417" s="67"/>
      <c r="I417" s="45" t="s">
        <v>1</v>
      </c>
      <c r="J417" s="45"/>
      <c r="K417" s="67"/>
      <c r="L417" s="45" t="s">
        <v>1</v>
      </c>
      <c r="M417" s="45"/>
      <c r="N417" s="67"/>
      <c r="O417" s="45"/>
      <c r="P417" s="45"/>
      <c r="Q417" s="61"/>
      <c r="R417" s="45" t="s">
        <v>1</v>
      </c>
      <c r="S417" s="67"/>
      <c r="T417" s="45" t="s">
        <v>1</v>
      </c>
      <c r="U417" s="45"/>
      <c r="V417" s="67"/>
      <c r="W417" s="45" t="s">
        <v>1</v>
      </c>
      <c r="X417" s="45"/>
      <c r="Y417" s="67"/>
      <c r="Z417" s="45" t="s">
        <v>1</v>
      </c>
      <c r="AA417" s="45"/>
      <c r="AB417" s="67"/>
      <c r="AC417" s="45"/>
      <c r="AD417" s="45"/>
      <c r="AE417" s="61"/>
      <c r="AF417" s="45" t="s">
        <v>1</v>
      </c>
      <c r="AG417" s="67"/>
      <c r="AH417" s="45" t="s">
        <v>1</v>
      </c>
      <c r="AI417" s="45"/>
      <c r="AJ417" s="67"/>
      <c r="AK417" s="45" t="s">
        <v>1</v>
      </c>
      <c r="AL417" s="45"/>
      <c r="AM417" s="67"/>
      <c r="AN417" s="45" t="s">
        <v>1</v>
      </c>
      <c r="AP417" s="67"/>
      <c r="AS417" s="61"/>
      <c r="AT417" s="45" t="s">
        <v>1</v>
      </c>
      <c r="AU417" s="67"/>
      <c r="AV417" s="45" t="s">
        <v>1</v>
      </c>
      <c r="AW417" s="45"/>
      <c r="AX417" s="67"/>
      <c r="AY417" s="45" t="s">
        <v>1</v>
      </c>
      <c r="AZ417" s="45"/>
      <c r="BA417" s="67"/>
      <c r="BB417" s="61"/>
      <c r="BC417" s="45" t="s">
        <v>1</v>
      </c>
      <c r="BD417" s="67"/>
    </row>
    <row r="418" spans="3:56" ht="12" customHeight="1" x14ac:dyDescent="0.2">
      <c r="C418" s="61"/>
      <c r="D418" s="45" t="s">
        <v>2</v>
      </c>
      <c r="E418" s="67"/>
      <c r="F418" s="45" t="s">
        <v>2</v>
      </c>
      <c r="G418" s="45"/>
      <c r="H418" s="67"/>
      <c r="I418" s="45" t="s">
        <v>2</v>
      </c>
      <c r="J418" s="45"/>
      <c r="K418" s="67"/>
      <c r="L418" s="45" t="s">
        <v>2</v>
      </c>
      <c r="M418" s="45"/>
      <c r="N418" s="67"/>
      <c r="O418" s="45"/>
      <c r="P418" s="45"/>
      <c r="Q418" s="61"/>
      <c r="R418" s="45" t="s">
        <v>2</v>
      </c>
      <c r="S418" s="67"/>
      <c r="T418" s="45" t="s">
        <v>2</v>
      </c>
      <c r="U418" s="45"/>
      <c r="V418" s="67"/>
      <c r="W418" s="45" t="s">
        <v>2</v>
      </c>
      <c r="X418" s="45"/>
      <c r="Y418" s="67"/>
      <c r="Z418" s="45" t="s">
        <v>2</v>
      </c>
      <c r="AA418" s="45"/>
      <c r="AB418" s="67"/>
      <c r="AC418" s="45"/>
      <c r="AD418" s="45"/>
      <c r="AE418" s="61"/>
      <c r="AF418" s="45" t="s">
        <v>2</v>
      </c>
      <c r="AG418" s="67"/>
      <c r="AH418" s="45" t="s">
        <v>2</v>
      </c>
      <c r="AI418" s="45"/>
      <c r="AJ418" s="67"/>
      <c r="AK418" s="45" t="s">
        <v>2</v>
      </c>
      <c r="AL418" s="45"/>
      <c r="AM418" s="67"/>
      <c r="AN418" s="45" t="s">
        <v>2</v>
      </c>
      <c r="AP418" s="67"/>
      <c r="AS418" s="61"/>
      <c r="AT418" s="45" t="s">
        <v>2</v>
      </c>
      <c r="AU418" s="67"/>
      <c r="AV418" s="45" t="s">
        <v>2</v>
      </c>
      <c r="AW418" s="45"/>
      <c r="AX418" s="67"/>
      <c r="AY418" s="45" t="s">
        <v>2</v>
      </c>
      <c r="AZ418" s="45"/>
      <c r="BA418" s="67"/>
      <c r="BB418" s="61"/>
      <c r="BC418" s="45" t="s">
        <v>2</v>
      </c>
      <c r="BD418" s="67"/>
    </row>
    <row r="419" spans="3:56" ht="12" customHeight="1" x14ac:dyDescent="0.2">
      <c r="C419" s="70"/>
      <c r="D419" s="49" t="s">
        <v>3</v>
      </c>
      <c r="E419" s="71"/>
      <c r="F419" s="49" t="s">
        <v>3</v>
      </c>
      <c r="G419" s="49"/>
      <c r="H419" s="71"/>
      <c r="I419" s="49" t="s">
        <v>3</v>
      </c>
      <c r="J419" s="49"/>
      <c r="K419" s="71"/>
      <c r="L419" s="49" t="s">
        <v>3</v>
      </c>
      <c r="M419" s="49"/>
      <c r="N419" s="71"/>
      <c r="O419" s="45"/>
      <c r="P419" s="45"/>
      <c r="Q419" s="70"/>
      <c r="R419" s="49" t="s">
        <v>3</v>
      </c>
      <c r="S419" s="71"/>
      <c r="T419" s="49" t="s">
        <v>3</v>
      </c>
      <c r="U419" s="49"/>
      <c r="V419" s="71"/>
      <c r="W419" s="49" t="s">
        <v>3</v>
      </c>
      <c r="X419" s="49"/>
      <c r="Y419" s="71"/>
      <c r="Z419" s="49" t="s">
        <v>3</v>
      </c>
      <c r="AA419" s="49"/>
      <c r="AB419" s="71"/>
      <c r="AC419" s="45"/>
      <c r="AD419" s="45"/>
      <c r="AE419" s="70"/>
      <c r="AF419" s="49" t="s">
        <v>3</v>
      </c>
      <c r="AG419" s="71"/>
      <c r="AH419" s="49" t="s">
        <v>3</v>
      </c>
      <c r="AI419" s="49"/>
      <c r="AJ419" s="71"/>
      <c r="AK419" s="49" t="s">
        <v>3</v>
      </c>
      <c r="AL419" s="49"/>
      <c r="AM419" s="71"/>
      <c r="AN419" s="49" t="s">
        <v>3</v>
      </c>
      <c r="AP419" s="71"/>
      <c r="AS419" s="70"/>
      <c r="AT419" s="49" t="s">
        <v>3</v>
      </c>
      <c r="AU419" s="71"/>
      <c r="AV419" s="49" t="s">
        <v>3</v>
      </c>
      <c r="AW419" s="49"/>
      <c r="AX419" s="71"/>
      <c r="AY419" s="49" t="s">
        <v>3</v>
      </c>
      <c r="AZ419" s="49"/>
      <c r="BA419" s="71"/>
      <c r="BB419" s="70"/>
      <c r="BC419" s="49" t="s">
        <v>3</v>
      </c>
      <c r="BD419" s="71"/>
    </row>
    <row r="421" spans="3:56" ht="12" customHeight="1" x14ac:dyDescent="0.2">
      <c r="C421" s="132" t="s">
        <v>141</v>
      </c>
      <c r="D421" s="132"/>
      <c r="E421" s="132"/>
      <c r="F421" s="132"/>
      <c r="G421" s="132"/>
      <c r="H421" s="43"/>
      <c r="I421" s="43"/>
      <c r="J421" s="43"/>
      <c r="K421" s="43"/>
      <c r="L421" s="43"/>
      <c r="M421" s="43"/>
      <c r="N421" s="43"/>
      <c r="O421" s="44"/>
      <c r="P421" s="44"/>
      <c r="Q421" s="44"/>
      <c r="R421" s="44"/>
      <c r="S421" s="44"/>
      <c r="T421" s="44"/>
      <c r="U421" s="44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44"/>
      <c r="AJ421" s="44"/>
      <c r="AK421" s="44"/>
      <c r="AL421" s="44"/>
      <c r="AM421" s="44"/>
      <c r="AN421" s="44"/>
      <c r="AP421" s="44"/>
      <c r="AS421" s="44"/>
      <c r="AT421" s="44"/>
      <c r="AU421" s="44"/>
      <c r="AV421" s="44"/>
      <c r="AW421" s="44"/>
      <c r="AX421" s="44"/>
      <c r="AY421" s="44"/>
      <c r="AZ421" s="44"/>
      <c r="BA421" s="44"/>
      <c r="BB421" s="44"/>
      <c r="BC421" s="44"/>
      <c r="BD421" s="44"/>
    </row>
    <row r="422" spans="3:56" ht="12" customHeight="1" x14ac:dyDescent="0.2">
      <c r="C422" s="133"/>
      <c r="D422" s="133"/>
      <c r="E422" s="133"/>
      <c r="F422" s="133"/>
      <c r="G422" s="133"/>
      <c r="H422" s="44"/>
      <c r="I422" s="44"/>
      <c r="J422" s="44"/>
      <c r="K422" s="44"/>
      <c r="L422" s="44"/>
      <c r="M422" s="44"/>
      <c r="N422" s="44"/>
      <c r="O422" s="44"/>
      <c r="P422" s="44"/>
      <c r="Q422" s="44"/>
      <c r="R422" s="44"/>
      <c r="S422" s="44"/>
      <c r="T422" s="44"/>
      <c r="U422" s="44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44"/>
      <c r="AJ422" s="44"/>
      <c r="AK422" s="44"/>
      <c r="AL422" s="44"/>
      <c r="AM422" s="44"/>
      <c r="AN422" s="44"/>
      <c r="AP422" s="44"/>
      <c r="AS422" s="44"/>
      <c r="AT422" s="44"/>
      <c r="AU422" s="44"/>
      <c r="AV422" s="44"/>
      <c r="AW422" s="44"/>
      <c r="AX422" s="44"/>
      <c r="AY422" s="44"/>
      <c r="AZ422" s="44"/>
      <c r="BA422" s="44"/>
      <c r="BB422" s="44"/>
      <c r="BC422" s="44"/>
      <c r="BD422" s="44"/>
    </row>
    <row r="423" spans="3:56" ht="12" customHeight="1" thickBot="1" x14ac:dyDescent="0.25">
      <c r="C423" s="61"/>
      <c r="D423" s="45" t="s">
        <v>0</v>
      </c>
      <c r="E423" s="45"/>
      <c r="F423" s="62"/>
      <c r="G423" s="45"/>
      <c r="H423" s="46" t="s">
        <v>0</v>
      </c>
      <c r="I423" s="46"/>
      <c r="J423" s="63"/>
      <c r="K423" s="46"/>
      <c r="L423" s="46" t="s">
        <v>0</v>
      </c>
      <c r="M423" s="46"/>
      <c r="N423" s="64"/>
      <c r="O423" s="45"/>
      <c r="P423" s="45"/>
      <c r="Q423" s="65"/>
      <c r="R423" s="46" t="s">
        <v>0</v>
      </c>
      <c r="S423" s="46"/>
      <c r="T423" s="63"/>
      <c r="U423" s="46"/>
      <c r="V423" s="46" t="s">
        <v>0</v>
      </c>
      <c r="W423" s="46"/>
      <c r="X423" s="63"/>
      <c r="Y423" s="46"/>
      <c r="Z423" s="46" t="s">
        <v>0</v>
      </c>
      <c r="AA423" s="46"/>
      <c r="AB423" s="64"/>
      <c r="AC423" s="45"/>
      <c r="AD423" s="45"/>
      <c r="AE423" s="65"/>
      <c r="AF423" s="46" t="s">
        <v>0</v>
      </c>
      <c r="AG423" s="46"/>
      <c r="AH423" s="63"/>
      <c r="AI423" s="46"/>
      <c r="AJ423" s="46" t="s">
        <v>0</v>
      </c>
      <c r="AK423" s="46"/>
      <c r="AL423" s="63"/>
      <c r="AM423" s="81"/>
      <c r="AN423" s="46" t="s">
        <v>0</v>
      </c>
      <c r="AP423" s="64"/>
      <c r="AS423" s="65"/>
      <c r="AT423" s="46" t="s">
        <v>0</v>
      </c>
      <c r="AU423" s="46"/>
      <c r="AV423" s="63"/>
      <c r="AW423" s="46"/>
      <c r="AX423" s="46" t="s">
        <v>0</v>
      </c>
      <c r="AY423" s="46"/>
      <c r="AZ423" s="63"/>
      <c r="BA423" s="81"/>
      <c r="BB423" s="46"/>
      <c r="BC423" s="46" t="s">
        <v>0</v>
      </c>
      <c r="BD423" s="64"/>
    </row>
    <row r="424" spans="3:56" ht="12" customHeight="1" x14ac:dyDescent="0.2">
      <c r="C424" s="61"/>
      <c r="D424" s="45" t="s">
        <v>1</v>
      </c>
      <c r="E424" s="45"/>
      <c r="F424" s="62"/>
      <c r="G424" s="47"/>
      <c r="H424" s="47" t="s">
        <v>1</v>
      </c>
      <c r="I424" s="47"/>
      <c r="J424" s="66"/>
      <c r="K424" s="45"/>
      <c r="L424" s="45" t="s">
        <v>1</v>
      </c>
      <c r="M424" s="45"/>
      <c r="N424" s="67"/>
      <c r="O424" s="45"/>
      <c r="P424" s="45"/>
      <c r="Q424" s="61"/>
      <c r="R424" s="45" t="s">
        <v>1</v>
      </c>
      <c r="S424" s="45"/>
      <c r="T424" s="62"/>
      <c r="U424" s="47"/>
      <c r="V424" s="47" t="s">
        <v>1</v>
      </c>
      <c r="W424" s="47"/>
      <c r="X424" s="66"/>
      <c r="Y424" s="45"/>
      <c r="Z424" s="45" t="s">
        <v>1</v>
      </c>
      <c r="AA424" s="45"/>
      <c r="AB424" s="67"/>
      <c r="AC424" s="45"/>
      <c r="AD424" s="45"/>
      <c r="AE424" s="61"/>
      <c r="AF424" s="45" t="s">
        <v>1</v>
      </c>
      <c r="AG424" s="45"/>
      <c r="AH424" s="62"/>
      <c r="AI424" s="47"/>
      <c r="AJ424" s="47" t="s">
        <v>1</v>
      </c>
      <c r="AK424" s="47"/>
      <c r="AL424" s="66"/>
      <c r="AM424" s="82"/>
      <c r="AN424" s="45" t="s">
        <v>1</v>
      </c>
      <c r="AP424" s="67"/>
      <c r="AS424" s="61"/>
      <c r="AT424" s="45" t="s">
        <v>1</v>
      </c>
      <c r="AU424" s="45"/>
      <c r="AV424" s="62"/>
      <c r="AW424" s="47"/>
      <c r="AX424" s="47" t="s">
        <v>1</v>
      </c>
      <c r="AY424" s="47"/>
      <c r="AZ424" s="66"/>
      <c r="BA424" s="82"/>
      <c r="BB424" s="45"/>
      <c r="BC424" s="45" t="s">
        <v>1</v>
      </c>
      <c r="BD424" s="67"/>
    </row>
    <row r="425" spans="3:56" ht="12" customHeight="1" x14ac:dyDescent="0.2">
      <c r="C425" s="61"/>
      <c r="D425" s="45" t="s">
        <v>2</v>
      </c>
      <c r="E425" s="45"/>
      <c r="F425" s="62"/>
      <c r="G425" s="45"/>
      <c r="H425" s="45" t="s">
        <v>2</v>
      </c>
      <c r="I425" s="45"/>
      <c r="J425" s="62"/>
      <c r="K425" s="45"/>
      <c r="L425" s="45" t="s">
        <v>2</v>
      </c>
      <c r="M425" s="45"/>
      <c r="N425" s="67"/>
      <c r="O425" s="45"/>
      <c r="P425" s="45"/>
      <c r="Q425" s="61"/>
      <c r="R425" s="45" t="s">
        <v>2</v>
      </c>
      <c r="S425" s="45"/>
      <c r="T425" s="62"/>
      <c r="U425" s="45"/>
      <c r="V425" s="45" t="s">
        <v>2</v>
      </c>
      <c r="W425" s="45"/>
      <c r="X425" s="62"/>
      <c r="Y425" s="45"/>
      <c r="Z425" s="45" t="s">
        <v>2</v>
      </c>
      <c r="AA425" s="45"/>
      <c r="AB425" s="67"/>
      <c r="AC425" s="45"/>
      <c r="AD425" s="45"/>
      <c r="AE425" s="61"/>
      <c r="AF425" s="45" t="s">
        <v>2</v>
      </c>
      <c r="AG425" s="45"/>
      <c r="AH425" s="62"/>
      <c r="AI425" s="45"/>
      <c r="AJ425" s="45" t="s">
        <v>2</v>
      </c>
      <c r="AK425" s="45"/>
      <c r="AL425" s="62"/>
      <c r="AM425" s="82"/>
      <c r="AN425" s="45" t="s">
        <v>2</v>
      </c>
      <c r="AP425" s="67"/>
      <c r="AS425" s="61"/>
      <c r="AT425" s="45" t="s">
        <v>2</v>
      </c>
      <c r="AU425" s="45"/>
      <c r="AV425" s="62"/>
      <c r="AW425" s="45"/>
      <c r="AX425" s="45" t="s">
        <v>2</v>
      </c>
      <c r="AY425" s="45"/>
      <c r="AZ425" s="62"/>
      <c r="BA425" s="82"/>
      <c r="BB425" s="45"/>
      <c r="BC425" s="45" t="s">
        <v>2</v>
      </c>
      <c r="BD425" s="67"/>
    </row>
    <row r="426" spans="3:56" ht="12" customHeight="1" thickBot="1" x14ac:dyDescent="0.25">
      <c r="C426" s="61"/>
      <c r="D426" s="45" t="s">
        <v>3</v>
      </c>
      <c r="E426" s="45"/>
      <c r="F426" s="68"/>
      <c r="G426" s="48"/>
      <c r="H426" s="48" t="s">
        <v>3</v>
      </c>
      <c r="I426" s="48"/>
      <c r="J426" s="69"/>
      <c r="K426" s="45"/>
      <c r="L426" s="45" t="s">
        <v>3</v>
      </c>
      <c r="M426" s="45"/>
      <c r="N426" s="67"/>
      <c r="O426" s="45"/>
      <c r="P426" s="45"/>
      <c r="Q426" s="61"/>
      <c r="R426" s="45" t="s">
        <v>3</v>
      </c>
      <c r="S426" s="45"/>
      <c r="T426" s="68"/>
      <c r="U426" s="48"/>
      <c r="V426" s="48" t="s">
        <v>3</v>
      </c>
      <c r="W426" s="48"/>
      <c r="X426" s="69"/>
      <c r="Y426" s="45"/>
      <c r="Z426" s="45" t="s">
        <v>3</v>
      </c>
      <c r="AA426" s="45"/>
      <c r="AB426" s="67"/>
      <c r="AC426" s="45"/>
      <c r="AD426" s="45"/>
      <c r="AE426" s="61"/>
      <c r="AF426" s="45" t="s">
        <v>3</v>
      </c>
      <c r="AG426" s="45"/>
      <c r="AH426" s="68"/>
      <c r="AI426" s="48"/>
      <c r="AJ426" s="48" t="s">
        <v>3</v>
      </c>
      <c r="AK426" s="48"/>
      <c r="AL426" s="69"/>
      <c r="AM426" s="83"/>
      <c r="AN426" s="45" t="s">
        <v>3</v>
      </c>
      <c r="AP426" s="67"/>
      <c r="AS426" s="61"/>
      <c r="AT426" s="45" t="s">
        <v>3</v>
      </c>
      <c r="AU426" s="45"/>
      <c r="AV426" s="68"/>
      <c r="AW426" s="48"/>
      <c r="AX426" s="48" t="s">
        <v>3</v>
      </c>
      <c r="AY426" s="48"/>
      <c r="AZ426" s="69"/>
      <c r="BA426" s="83"/>
      <c r="BB426" s="45"/>
      <c r="BC426" s="45" t="s">
        <v>3</v>
      </c>
      <c r="BD426" s="67"/>
    </row>
    <row r="427" spans="3:56" ht="12" customHeight="1" x14ac:dyDescent="0.2">
      <c r="C427" s="65"/>
      <c r="D427" s="46" t="s">
        <v>0</v>
      </c>
      <c r="E427" s="46"/>
      <c r="F427" s="67"/>
      <c r="G427" s="45"/>
      <c r="H427" s="40" t="s">
        <v>0</v>
      </c>
      <c r="I427" s="45"/>
      <c r="J427" s="62"/>
      <c r="K427" s="46"/>
      <c r="L427" s="46" t="s">
        <v>0</v>
      </c>
      <c r="M427" s="46"/>
      <c r="N427" s="64"/>
      <c r="O427" s="45"/>
      <c r="P427" s="45"/>
      <c r="Q427" s="65"/>
      <c r="R427" s="46" t="s">
        <v>0</v>
      </c>
      <c r="S427" s="46"/>
      <c r="T427" s="67"/>
      <c r="U427" s="45"/>
      <c r="V427" s="40" t="s">
        <v>0</v>
      </c>
      <c r="W427" s="45">
        <v>1</v>
      </c>
      <c r="X427" s="62"/>
      <c r="Y427" s="46"/>
      <c r="Z427" s="46" t="s">
        <v>0</v>
      </c>
      <c r="AA427" s="46"/>
      <c r="AB427" s="64"/>
      <c r="AC427" s="45"/>
      <c r="AD427" s="45"/>
      <c r="AE427" s="65"/>
      <c r="AF427" s="46" t="s">
        <v>0</v>
      </c>
      <c r="AG427" s="46"/>
      <c r="AH427" s="67"/>
      <c r="AI427" s="45"/>
      <c r="AJ427" s="40" t="s">
        <v>0</v>
      </c>
      <c r="AK427" s="45"/>
      <c r="AL427" s="62"/>
      <c r="AM427" s="46"/>
      <c r="AN427" s="46" t="s">
        <v>0</v>
      </c>
      <c r="AP427" s="64"/>
      <c r="AS427" s="65"/>
      <c r="AT427" s="46" t="s">
        <v>0</v>
      </c>
      <c r="AU427" s="46"/>
      <c r="AV427" s="67"/>
      <c r="AW427" s="45"/>
      <c r="AX427" s="40" t="s">
        <v>0</v>
      </c>
      <c r="AY427" s="45"/>
      <c r="AZ427" s="62"/>
      <c r="BA427" s="46"/>
      <c r="BB427" s="46"/>
      <c r="BC427" s="46" t="s">
        <v>0</v>
      </c>
      <c r="BD427" s="64"/>
    </row>
    <row r="428" spans="3:56" ht="12" customHeight="1" x14ac:dyDescent="0.2">
      <c r="C428" s="61"/>
      <c r="D428" s="45" t="s">
        <v>1</v>
      </c>
      <c r="E428" s="45"/>
      <c r="F428" s="67"/>
      <c r="G428" s="45"/>
      <c r="H428" s="38" t="s">
        <v>1</v>
      </c>
      <c r="I428" s="45"/>
      <c r="J428" s="67"/>
      <c r="K428" s="45"/>
      <c r="L428" s="45" t="s">
        <v>1</v>
      </c>
      <c r="M428" s="45"/>
      <c r="N428" s="67"/>
      <c r="O428" s="45"/>
      <c r="P428" s="45"/>
      <c r="Q428" s="61"/>
      <c r="R428" s="45" t="s">
        <v>1</v>
      </c>
      <c r="S428" s="45"/>
      <c r="T428" s="67"/>
      <c r="U428" s="45"/>
      <c r="V428" s="38" t="s">
        <v>1</v>
      </c>
      <c r="W428" s="45"/>
      <c r="X428" s="67"/>
      <c r="Y428" s="45"/>
      <c r="Z428" s="45" t="s">
        <v>1</v>
      </c>
      <c r="AA428" s="45"/>
      <c r="AB428" s="67"/>
      <c r="AC428" s="45"/>
      <c r="AD428" s="45"/>
      <c r="AE428" s="61"/>
      <c r="AF428" s="45" t="s">
        <v>1</v>
      </c>
      <c r="AG428" s="45"/>
      <c r="AH428" s="67"/>
      <c r="AI428" s="45"/>
      <c r="AJ428" s="38" t="s">
        <v>1</v>
      </c>
      <c r="AK428" s="45"/>
      <c r="AL428" s="67"/>
      <c r="AM428" s="45"/>
      <c r="AN428" s="45" t="s">
        <v>1</v>
      </c>
      <c r="AP428" s="67"/>
      <c r="AS428" s="61"/>
      <c r="AT428" s="45" t="s">
        <v>1</v>
      </c>
      <c r="AU428" s="45"/>
      <c r="AV428" s="67"/>
      <c r="AW428" s="45"/>
      <c r="AX428" s="38" t="s">
        <v>1</v>
      </c>
      <c r="AY428" s="45"/>
      <c r="AZ428" s="67"/>
      <c r="BA428" s="45"/>
      <c r="BB428" s="45"/>
      <c r="BC428" s="45" t="s">
        <v>1</v>
      </c>
      <c r="BD428" s="67"/>
    </row>
    <row r="429" spans="3:56" ht="12" customHeight="1" x14ac:dyDescent="0.2">
      <c r="C429" s="61"/>
      <c r="D429" s="45" t="s">
        <v>2</v>
      </c>
      <c r="E429" s="45"/>
      <c r="F429" s="67"/>
      <c r="G429" s="45"/>
      <c r="H429" s="38" t="s">
        <v>2</v>
      </c>
      <c r="I429" s="45">
        <v>1</v>
      </c>
      <c r="J429" s="67"/>
      <c r="K429" s="45"/>
      <c r="L429" s="45" t="s">
        <v>2</v>
      </c>
      <c r="M429" s="45">
        <v>1</v>
      </c>
      <c r="N429" s="67"/>
      <c r="O429" s="45"/>
      <c r="P429" s="45"/>
      <c r="Q429" s="61"/>
      <c r="R429" s="45" t="s">
        <v>2</v>
      </c>
      <c r="S429" s="45"/>
      <c r="T429" s="67"/>
      <c r="U429" s="45"/>
      <c r="V429" s="38" t="s">
        <v>2</v>
      </c>
      <c r="W429" s="45"/>
      <c r="X429" s="67"/>
      <c r="Y429" s="45"/>
      <c r="Z429" s="45" t="s">
        <v>2</v>
      </c>
      <c r="AA429" s="45"/>
      <c r="AB429" s="67"/>
      <c r="AC429" s="45"/>
      <c r="AD429" s="45"/>
      <c r="AE429" s="61"/>
      <c r="AF429" s="45" t="s">
        <v>2</v>
      </c>
      <c r="AG429" s="45"/>
      <c r="AH429" s="67"/>
      <c r="AI429" s="45"/>
      <c r="AJ429" s="38" t="s">
        <v>2</v>
      </c>
      <c r="AK429" s="45"/>
      <c r="AL429" s="67"/>
      <c r="AM429" s="45"/>
      <c r="AN429" s="45" t="s">
        <v>2</v>
      </c>
      <c r="AP429" s="67"/>
      <c r="AS429" s="61"/>
      <c r="AT429" s="45" t="s">
        <v>2</v>
      </c>
      <c r="AU429" s="45"/>
      <c r="AV429" s="67"/>
      <c r="AW429" s="45"/>
      <c r="AX429" s="38" t="s">
        <v>2</v>
      </c>
      <c r="AY429" s="45"/>
      <c r="AZ429" s="67"/>
      <c r="BA429" s="45"/>
      <c r="BB429" s="45"/>
      <c r="BC429" s="45" t="s">
        <v>2</v>
      </c>
      <c r="BD429" s="67"/>
    </row>
    <row r="430" spans="3:56" ht="12" customHeight="1" x14ac:dyDescent="0.2">
      <c r="C430" s="70"/>
      <c r="D430" s="49" t="s">
        <v>3</v>
      </c>
      <c r="E430" s="49"/>
      <c r="F430" s="71"/>
      <c r="G430" s="49"/>
      <c r="H430" s="39" t="s">
        <v>3</v>
      </c>
      <c r="I430" s="49"/>
      <c r="J430" s="71"/>
      <c r="K430" s="49"/>
      <c r="L430" s="49" t="s">
        <v>3</v>
      </c>
      <c r="M430" s="49"/>
      <c r="N430" s="71"/>
      <c r="O430" s="45"/>
      <c r="P430" s="45"/>
      <c r="Q430" s="70"/>
      <c r="R430" s="49" t="s">
        <v>3</v>
      </c>
      <c r="S430" s="49"/>
      <c r="T430" s="71"/>
      <c r="U430" s="49"/>
      <c r="V430" s="39" t="s">
        <v>3</v>
      </c>
      <c r="W430" s="49"/>
      <c r="X430" s="71"/>
      <c r="Y430" s="49"/>
      <c r="Z430" s="49" t="s">
        <v>3</v>
      </c>
      <c r="AA430" s="49"/>
      <c r="AB430" s="71"/>
      <c r="AC430" s="45"/>
      <c r="AD430" s="45"/>
      <c r="AE430" s="70"/>
      <c r="AF430" s="49" t="s">
        <v>3</v>
      </c>
      <c r="AG430" s="49"/>
      <c r="AH430" s="71"/>
      <c r="AI430" s="49"/>
      <c r="AJ430" s="39" t="s">
        <v>3</v>
      </c>
      <c r="AK430" s="49"/>
      <c r="AL430" s="71"/>
      <c r="AM430" s="49"/>
      <c r="AN430" s="49" t="s">
        <v>3</v>
      </c>
      <c r="AP430" s="71"/>
      <c r="AS430" s="70"/>
      <c r="AT430" s="49" t="s">
        <v>3</v>
      </c>
      <c r="AU430" s="49"/>
      <c r="AV430" s="71"/>
      <c r="AW430" s="49"/>
      <c r="AX430" s="39" t="s">
        <v>3</v>
      </c>
      <c r="AY430" s="49"/>
      <c r="AZ430" s="71"/>
      <c r="BA430" s="49"/>
      <c r="BB430" s="49"/>
      <c r="BC430" s="49" t="s">
        <v>3</v>
      </c>
      <c r="BD430" s="71"/>
    </row>
    <row r="431" spans="3:56" ht="12" customHeight="1" x14ac:dyDescent="0.2">
      <c r="C431" s="61"/>
      <c r="D431" s="45" t="s">
        <v>0</v>
      </c>
      <c r="E431" s="67"/>
      <c r="F431" s="45" t="s">
        <v>0</v>
      </c>
      <c r="G431" s="45"/>
      <c r="H431" s="67"/>
      <c r="I431" s="45" t="s">
        <v>0</v>
      </c>
      <c r="J431" s="45"/>
      <c r="K431" s="67"/>
      <c r="L431" s="45" t="s">
        <v>0</v>
      </c>
      <c r="M431" s="45"/>
      <c r="N431" s="67"/>
      <c r="O431" s="45"/>
      <c r="P431" s="45"/>
      <c r="Q431" s="61"/>
      <c r="R431" s="45" t="s">
        <v>0</v>
      </c>
      <c r="S431" s="67"/>
      <c r="T431" s="45" t="s">
        <v>0</v>
      </c>
      <c r="U431" s="45"/>
      <c r="V431" s="67"/>
      <c r="W431" s="45" t="s">
        <v>0</v>
      </c>
      <c r="X431" s="45"/>
      <c r="Y431" s="67"/>
      <c r="Z431" s="45" t="s">
        <v>0</v>
      </c>
      <c r="AA431" s="45"/>
      <c r="AB431" s="67"/>
      <c r="AC431" s="45"/>
      <c r="AD431" s="45"/>
      <c r="AE431" s="61"/>
      <c r="AF431" s="45" t="s">
        <v>0</v>
      </c>
      <c r="AG431" s="67"/>
      <c r="AH431" s="45" t="s">
        <v>0</v>
      </c>
      <c r="AI431" s="45"/>
      <c r="AJ431" s="67"/>
      <c r="AK431" s="45" t="s">
        <v>0</v>
      </c>
      <c r="AL431" s="45"/>
      <c r="AM431" s="67"/>
      <c r="AN431" s="45" t="s">
        <v>0</v>
      </c>
      <c r="AP431" s="67"/>
      <c r="AS431" s="61"/>
      <c r="AT431" s="45" t="s">
        <v>0</v>
      </c>
      <c r="AU431" s="67"/>
      <c r="AV431" s="45" t="s">
        <v>0</v>
      </c>
      <c r="AW431" s="45"/>
      <c r="AX431" s="67"/>
      <c r="AY431" s="45" t="s">
        <v>0</v>
      </c>
      <c r="AZ431" s="45"/>
      <c r="BA431" s="67"/>
      <c r="BB431" s="61"/>
      <c r="BC431" s="45" t="s">
        <v>0</v>
      </c>
      <c r="BD431" s="67"/>
    </row>
    <row r="432" spans="3:56" ht="12" customHeight="1" x14ac:dyDescent="0.2">
      <c r="C432" s="61"/>
      <c r="D432" s="45" t="s">
        <v>1</v>
      </c>
      <c r="E432" s="67"/>
      <c r="F432" s="45" t="s">
        <v>1</v>
      </c>
      <c r="G432" s="45"/>
      <c r="H432" s="67"/>
      <c r="I432" s="45" t="s">
        <v>1</v>
      </c>
      <c r="J432" s="45"/>
      <c r="K432" s="67"/>
      <c r="L432" s="45" t="s">
        <v>1</v>
      </c>
      <c r="M432" s="45"/>
      <c r="N432" s="67"/>
      <c r="O432" s="45"/>
      <c r="P432" s="45"/>
      <c r="Q432" s="61"/>
      <c r="R432" s="45" t="s">
        <v>1</v>
      </c>
      <c r="S432" s="67"/>
      <c r="T432" s="45" t="s">
        <v>1</v>
      </c>
      <c r="U432" s="45"/>
      <c r="V432" s="67"/>
      <c r="W432" s="45" t="s">
        <v>1</v>
      </c>
      <c r="X432" s="45"/>
      <c r="Y432" s="67"/>
      <c r="Z432" s="45" t="s">
        <v>1</v>
      </c>
      <c r="AA432" s="45"/>
      <c r="AB432" s="67"/>
      <c r="AC432" s="45"/>
      <c r="AD432" s="45"/>
      <c r="AE432" s="61"/>
      <c r="AF432" s="45" t="s">
        <v>1</v>
      </c>
      <c r="AG432" s="67"/>
      <c r="AH432" s="45" t="s">
        <v>1</v>
      </c>
      <c r="AI432" s="45"/>
      <c r="AJ432" s="67"/>
      <c r="AK432" s="45" t="s">
        <v>1</v>
      </c>
      <c r="AL432" s="45"/>
      <c r="AM432" s="67"/>
      <c r="AN432" s="45" t="s">
        <v>1</v>
      </c>
      <c r="AP432" s="67"/>
      <c r="AS432" s="61"/>
      <c r="AT432" s="45" t="s">
        <v>1</v>
      </c>
      <c r="AU432" s="67"/>
      <c r="AV432" s="45" t="s">
        <v>1</v>
      </c>
      <c r="AW432" s="45"/>
      <c r="AX432" s="67"/>
      <c r="AY432" s="45" t="s">
        <v>1</v>
      </c>
      <c r="AZ432" s="45"/>
      <c r="BA432" s="67"/>
      <c r="BB432" s="61"/>
      <c r="BC432" s="45" t="s">
        <v>1</v>
      </c>
      <c r="BD432" s="67"/>
    </row>
    <row r="433" spans="3:56" ht="12" customHeight="1" x14ac:dyDescent="0.2">
      <c r="C433" s="61"/>
      <c r="D433" s="45" t="s">
        <v>2</v>
      </c>
      <c r="E433" s="67"/>
      <c r="F433" s="45" t="s">
        <v>2</v>
      </c>
      <c r="G433" s="45"/>
      <c r="H433" s="67"/>
      <c r="I433" s="45" t="s">
        <v>2</v>
      </c>
      <c r="J433" s="45"/>
      <c r="K433" s="67"/>
      <c r="L433" s="45" t="s">
        <v>2</v>
      </c>
      <c r="M433" s="45"/>
      <c r="N433" s="67"/>
      <c r="O433" s="45"/>
      <c r="P433" s="45"/>
      <c r="Q433" s="61"/>
      <c r="R433" s="45" t="s">
        <v>2</v>
      </c>
      <c r="S433" s="67"/>
      <c r="T433" s="45" t="s">
        <v>2</v>
      </c>
      <c r="U433" s="45"/>
      <c r="V433" s="67"/>
      <c r="W433" s="45" t="s">
        <v>2</v>
      </c>
      <c r="X433" s="45"/>
      <c r="Y433" s="67"/>
      <c r="Z433" s="45" t="s">
        <v>2</v>
      </c>
      <c r="AA433" s="45"/>
      <c r="AB433" s="67"/>
      <c r="AC433" s="45"/>
      <c r="AD433" s="45"/>
      <c r="AE433" s="61"/>
      <c r="AF433" s="45" t="s">
        <v>2</v>
      </c>
      <c r="AG433" s="67"/>
      <c r="AH433" s="45" t="s">
        <v>2</v>
      </c>
      <c r="AI433" s="45"/>
      <c r="AJ433" s="67"/>
      <c r="AK433" s="45" t="s">
        <v>2</v>
      </c>
      <c r="AL433" s="45"/>
      <c r="AM433" s="67"/>
      <c r="AN433" s="45" t="s">
        <v>2</v>
      </c>
      <c r="AP433" s="67"/>
      <c r="AS433" s="61"/>
      <c r="AT433" s="45" t="s">
        <v>2</v>
      </c>
      <c r="AU433" s="67"/>
      <c r="AV433" s="45" t="s">
        <v>2</v>
      </c>
      <c r="AW433" s="45"/>
      <c r="AX433" s="67"/>
      <c r="AY433" s="45" t="s">
        <v>2</v>
      </c>
      <c r="AZ433" s="45"/>
      <c r="BA433" s="67"/>
      <c r="BB433" s="61"/>
      <c r="BC433" s="45" t="s">
        <v>2</v>
      </c>
      <c r="BD433" s="67"/>
    </row>
    <row r="434" spans="3:56" ht="12" customHeight="1" x14ac:dyDescent="0.2">
      <c r="C434" s="70"/>
      <c r="D434" s="49" t="s">
        <v>3</v>
      </c>
      <c r="E434" s="71"/>
      <c r="F434" s="49" t="s">
        <v>3</v>
      </c>
      <c r="G434" s="49"/>
      <c r="H434" s="71"/>
      <c r="I434" s="49" t="s">
        <v>3</v>
      </c>
      <c r="J434" s="49"/>
      <c r="K434" s="71"/>
      <c r="L434" s="49" t="s">
        <v>3</v>
      </c>
      <c r="M434" s="49"/>
      <c r="N434" s="71"/>
      <c r="O434" s="45"/>
      <c r="P434" s="45"/>
      <c r="Q434" s="70"/>
      <c r="R434" s="49" t="s">
        <v>3</v>
      </c>
      <c r="S434" s="71"/>
      <c r="T434" s="49" t="s">
        <v>3</v>
      </c>
      <c r="U434" s="49"/>
      <c r="V434" s="71"/>
      <c r="W434" s="49" t="s">
        <v>3</v>
      </c>
      <c r="X434" s="49"/>
      <c r="Y434" s="71"/>
      <c r="Z434" s="49" t="s">
        <v>3</v>
      </c>
      <c r="AA434" s="49"/>
      <c r="AB434" s="71"/>
      <c r="AC434" s="45"/>
      <c r="AD434" s="45"/>
      <c r="AE434" s="70"/>
      <c r="AF434" s="49" t="s">
        <v>3</v>
      </c>
      <c r="AG434" s="71"/>
      <c r="AH434" s="49" t="s">
        <v>3</v>
      </c>
      <c r="AI434" s="49"/>
      <c r="AJ434" s="71"/>
      <c r="AK434" s="49" t="s">
        <v>3</v>
      </c>
      <c r="AL434" s="49"/>
      <c r="AM434" s="71"/>
      <c r="AN434" s="49" t="s">
        <v>3</v>
      </c>
      <c r="AP434" s="71"/>
      <c r="AS434" s="70"/>
      <c r="AT434" s="49" t="s">
        <v>3</v>
      </c>
      <c r="AU434" s="71"/>
      <c r="AV434" s="49" t="s">
        <v>3</v>
      </c>
      <c r="AW434" s="49"/>
      <c r="AX434" s="71"/>
      <c r="AY434" s="49" t="s">
        <v>3</v>
      </c>
      <c r="AZ434" s="49"/>
      <c r="BA434" s="71"/>
      <c r="BB434" s="70"/>
      <c r="BC434" s="49" t="s">
        <v>3</v>
      </c>
      <c r="BD434" s="71"/>
    </row>
    <row r="436" spans="3:56" ht="12" customHeight="1" x14ac:dyDescent="0.2">
      <c r="C436" s="132" t="s">
        <v>67</v>
      </c>
      <c r="D436" s="132"/>
      <c r="E436" s="132"/>
      <c r="F436" s="132"/>
      <c r="G436" s="132"/>
      <c r="H436" s="43"/>
      <c r="I436" s="43"/>
      <c r="J436" s="43"/>
      <c r="K436" s="43"/>
      <c r="L436" s="43"/>
      <c r="M436" s="43"/>
      <c r="N436" s="43"/>
      <c r="O436" s="44"/>
      <c r="P436" s="44"/>
      <c r="Q436" s="44"/>
      <c r="R436" s="44"/>
      <c r="S436" s="44"/>
      <c r="T436" s="44"/>
      <c r="U436" s="44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44"/>
      <c r="AJ436" s="44"/>
      <c r="AK436" s="44"/>
      <c r="AL436" s="44"/>
      <c r="AM436" s="44"/>
      <c r="AN436" s="44"/>
      <c r="AP436" s="44"/>
      <c r="AS436" s="44"/>
      <c r="AT436" s="44"/>
      <c r="AU436" s="44"/>
      <c r="AV436" s="44"/>
      <c r="AW436" s="44"/>
      <c r="AX436" s="44"/>
      <c r="AY436" s="44"/>
      <c r="AZ436" s="44"/>
      <c r="BA436" s="44"/>
      <c r="BB436" s="44"/>
      <c r="BC436" s="44"/>
      <c r="BD436" s="44"/>
    </row>
    <row r="437" spans="3:56" ht="12" customHeight="1" x14ac:dyDescent="0.2">
      <c r="C437" s="133"/>
      <c r="D437" s="133"/>
      <c r="E437" s="133"/>
      <c r="F437" s="133"/>
      <c r="G437" s="133"/>
      <c r="H437" s="44"/>
      <c r="I437" s="44"/>
      <c r="J437" s="44"/>
      <c r="K437" s="44"/>
      <c r="L437" s="44"/>
      <c r="M437" s="44"/>
      <c r="N437" s="44"/>
      <c r="O437" s="44"/>
      <c r="P437" s="44"/>
      <c r="Q437" s="44"/>
      <c r="R437" s="44"/>
      <c r="S437" s="44"/>
      <c r="T437" s="44"/>
      <c r="U437" s="44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44"/>
      <c r="AJ437" s="44"/>
      <c r="AK437" s="44"/>
      <c r="AL437" s="44"/>
      <c r="AM437" s="44"/>
      <c r="AN437" s="44"/>
      <c r="AP437" s="44"/>
      <c r="AS437" s="44"/>
      <c r="AT437" s="44"/>
      <c r="AU437" s="44"/>
      <c r="AV437" s="44"/>
      <c r="AW437" s="44"/>
      <c r="AX437" s="44"/>
      <c r="AY437" s="44"/>
      <c r="AZ437" s="44"/>
      <c r="BA437" s="44"/>
      <c r="BB437" s="44"/>
      <c r="BC437" s="44"/>
      <c r="BD437" s="44"/>
    </row>
    <row r="438" spans="3:56" ht="12" customHeight="1" thickBot="1" x14ac:dyDescent="0.25">
      <c r="C438" s="61"/>
      <c r="D438" s="45" t="s">
        <v>0</v>
      </c>
      <c r="E438" s="45"/>
      <c r="F438" s="62"/>
      <c r="G438" s="45"/>
      <c r="H438" s="46" t="s">
        <v>0</v>
      </c>
      <c r="I438" s="46"/>
      <c r="J438" s="63"/>
      <c r="K438" s="46"/>
      <c r="L438" s="46" t="s">
        <v>0</v>
      </c>
      <c r="M438" s="46"/>
      <c r="N438" s="64"/>
      <c r="O438" s="45"/>
      <c r="P438" s="45"/>
      <c r="Q438" s="65"/>
      <c r="R438" s="46" t="s">
        <v>0</v>
      </c>
      <c r="S438" s="46"/>
      <c r="T438" s="63"/>
      <c r="U438" s="46"/>
      <c r="V438" s="46" t="s">
        <v>0</v>
      </c>
      <c r="W438" s="46"/>
      <c r="X438" s="63"/>
      <c r="Y438" s="46"/>
      <c r="Z438" s="46" t="s">
        <v>0</v>
      </c>
      <c r="AA438" s="46"/>
      <c r="AB438" s="64"/>
      <c r="AC438" s="45"/>
      <c r="AD438" s="45"/>
      <c r="AE438" s="65"/>
      <c r="AF438" s="46" t="s">
        <v>0</v>
      </c>
      <c r="AG438" s="46"/>
      <c r="AH438" s="63"/>
      <c r="AI438" s="46"/>
      <c r="AJ438" s="46" t="s">
        <v>0</v>
      </c>
      <c r="AK438" s="46"/>
      <c r="AL438" s="63"/>
      <c r="AM438" s="81"/>
      <c r="AN438" s="46" t="s">
        <v>0</v>
      </c>
      <c r="AP438" s="64"/>
      <c r="AS438" s="65"/>
      <c r="AT438" s="46" t="s">
        <v>0</v>
      </c>
      <c r="AU438" s="46"/>
      <c r="AV438" s="63"/>
      <c r="AW438" s="46"/>
      <c r="AX438" s="46" t="s">
        <v>0</v>
      </c>
      <c r="AY438" s="46"/>
      <c r="AZ438" s="63"/>
      <c r="BA438" s="81"/>
      <c r="BB438" s="46" t="s">
        <v>0</v>
      </c>
      <c r="BD438" s="64"/>
    </row>
    <row r="439" spans="3:56" ht="12" customHeight="1" x14ac:dyDescent="0.2">
      <c r="C439" s="61"/>
      <c r="D439" s="45" t="s">
        <v>1</v>
      </c>
      <c r="E439" s="45"/>
      <c r="F439" s="62"/>
      <c r="G439" s="47"/>
      <c r="H439" s="47" t="s">
        <v>1</v>
      </c>
      <c r="I439" s="47"/>
      <c r="J439" s="66"/>
      <c r="K439" s="45"/>
      <c r="L439" s="45" t="s">
        <v>1</v>
      </c>
      <c r="M439" s="45"/>
      <c r="N439" s="67"/>
      <c r="O439" s="45"/>
      <c r="P439" s="45"/>
      <c r="Q439" s="61"/>
      <c r="R439" s="45" t="s">
        <v>1</v>
      </c>
      <c r="S439" s="45"/>
      <c r="T439" s="62"/>
      <c r="U439" s="47"/>
      <c r="V439" s="47" t="s">
        <v>1</v>
      </c>
      <c r="W439" s="47"/>
      <c r="X439" s="66"/>
      <c r="Y439" s="45"/>
      <c r="Z439" s="45" t="s">
        <v>1</v>
      </c>
      <c r="AA439" s="45"/>
      <c r="AB439" s="67"/>
      <c r="AC439" s="45"/>
      <c r="AD439" s="45"/>
      <c r="AE439" s="61"/>
      <c r="AF439" s="45" t="s">
        <v>1</v>
      </c>
      <c r="AG439" s="45"/>
      <c r="AH439" s="62"/>
      <c r="AI439" s="47"/>
      <c r="AJ439" s="47" t="s">
        <v>1</v>
      </c>
      <c r="AK439" s="47"/>
      <c r="AL439" s="66"/>
      <c r="AM439" s="82"/>
      <c r="AN439" s="45" t="s">
        <v>1</v>
      </c>
      <c r="AP439" s="67"/>
      <c r="AS439" s="61"/>
      <c r="AT439" s="45" t="s">
        <v>1</v>
      </c>
      <c r="AU439" s="45"/>
      <c r="AV439" s="62"/>
      <c r="AW439" s="47"/>
      <c r="AX439" s="47" t="s">
        <v>1</v>
      </c>
      <c r="AY439" s="47"/>
      <c r="AZ439" s="66"/>
      <c r="BA439" s="82"/>
      <c r="BB439" s="45" t="s">
        <v>1</v>
      </c>
      <c r="BD439" s="67"/>
    </row>
    <row r="440" spans="3:56" ht="12" customHeight="1" x14ac:dyDescent="0.2">
      <c r="C440" s="61"/>
      <c r="D440" s="45" t="s">
        <v>2</v>
      </c>
      <c r="E440" s="45"/>
      <c r="F440" s="62"/>
      <c r="G440" s="45"/>
      <c r="H440" s="45" t="s">
        <v>2</v>
      </c>
      <c r="I440" s="45"/>
      <c r="J440" s="62"/>
      <c r="K440" s="45"/>
      <c r="L440" s="45" t="s">
        <v>2</v>
      </c>
      <c r="M440" s="45"/>
      <c r="N440" s="67"/>
      <c r="O440" s="45"/>
      <c r="P440" s="45"/>
      <c r="Q440" s="61"/>
      <c r="R440" s="45" t="s">
        <v>2</v>
      </c>
      <c r="S440" s="45"/>
      <c r="T440" s="62"/>
      <c r="U440" s="45"/>
      <c r="V440" s="45" t="s">
        <v>2</v>
      </c>
      <c r="W440" s="45"/>
      <c r="X440" s="62"/>
      <c r="Y440" s="45"/>
      <c r="Z440" s="45" t="s">
        <v>2</v>
      </c>
      <c r="AA440" s="45"/>
      <c r="AB440" s="67"/>
      <c r="AC440" s="45"/>
      <c r="AD440" s="45"/>
      <c r="AE440" s="61"/>
      <c r="AF440" s="45" t="s">
        <v>2</v>
      </c>
      <c r="AG440" s="45"/>
      <c r="AH440" s="62"/>
      <c r="AI440" s="45"/>
      <c r="AJ440" s="45" t="s">
        <v>2</v>
      </c>
      <c r="AK440" s="45"/>
      <c r="AL440" s="62"/>
      <c r="AM440" s="82"/>
      <c r="AN440" s="45" t="s">
        <v>2</v>
      </c>
      <c r="AP440" s="67"/>
      <c r="AS440" s="61"/>
      <c r="AT440" s="45" t="s">
        <v>2</v>
      </c>
      <c r="AU440" s="45"/>
      <c r="AV440" s="62"/>
      <c r="AW440" s="45"/>
      <c r="AX440" s="45" t="s">
        <v>2</v>
      </c>
      <c r="AY440" s="45"/>
      <c r="AZ440" s="62"/>
      <c r="BA440" s="82"/>
      <c r="BB440" s="45" t="s">
        <v>2</v>
      </c>
      <c r="BD440" s="67"/>
    </row>
    <row r="441" spans="3:56" ht="12" customHeight="1" thickBot="1" x14ac:dyDescent="0.25">
      <c r="C441" s="61"/>
      <c r="D441" s="45" t="s">
        <v>3</v>
      </c>
      <c r="E441" s="45"/>
      <c r="F441" s="68"/>
      <c r="G441" s="48"/>
      <c r="H441" s="48" t="s">
        <v>3</v>
      </c>
      <c r="I441" s="48"/>
      <c r="J441" s="69"/>
      <c r="K441" s="45"/>
      <c r="L441" s="45" t="s">
        <v>3</v>
      </c>
      <c r="M441" s="45"/>
      <c r="N441" s="67"/>
      <c r="O441" s="45"/>
      <c r="P441" s="45"/>
      <c r="Q441" s="61"/>
      <c r="R441" s="45" t="s">
        <v>3</v>
      </c>
      <c r="S441" s="45"/>
      <c r="T441" s="68"/>
      <c r="U441" s="48"/>
      <c r="V441" s="48" t="s">
        <v>3</v>
      </c>
      <c r="W441" s="48"/>
      <c r="X441" s="69"/>
      <c r="Y441" s="45"/>
      <c r="Z441" s="45" t="s">
        <v>3</v>
      </c>
      <c r="AA441" s="45"/>
      <c r="AB441" s="67"/>
      <c r="AC441" s="45"/>
      <c r="AD441" s="45"/>
      <c r="AE441" s="61"/>
      <c r="AF441" s="45" t="s">
        <v>3</v>
      </c>
      <c r="AG441" s="45"/>
      <c r="AH441" s="68"/>
      <c r="AI441" s="48"/>
      <c r="AJ441" s="48" t="s">
        <v>3</v>
      </c>
      <c r="AK441" s="48"/>
      <c r="AL441" s="69"/>
      <c r="AM441" s="83"/>
      <c r="AN441" s="45" t="s">
        <v>3</v>
      </c>
      <c r="AP441" s="67"/>
      <c r="AS441" s="61"/>
      <c r="AT441" s="45" t="s">
        <v>3</v>
      </c>
      <c r="AU441" s="45"/>
      <c r="AV441" s="68"/>
      <c r="AW441" s="48"/>
      <c r="AX441" s="48" t="s">
        <v>3</v>
      </c>
      <c r="AY441" s="48"/>
      <c r="AZ441" s="69"/>
      <c r="BA441" s="83"/>
      <c r="BB441" s="45" t="s">
        <v>3</v>
      </c>
      <c r="BD441" s="67"/>
    </row>
    <row r="442" spans="3:56" ht="12" customHeight="1" x14ac:dyDescent="0.2">
      <c r="C442" s="65"/>
      <c r="D442" s="46" t="s">
        <v>0</v>
      </c>
      <c r="E442" s="46"/>
      <c r="F442" s="67"/>
      <c r="G442" s="45"/>
      <c r="H442" s="40" t="s">
        <v>0</v>
      </c>
      <c r="I442" s="45"/>
      <c r="J442" s="62"/>
      <c r="K442" s="46"/>
      <c r="L442" s="46" t="s">
        <v>0</v>
      </c>
      <c r="M442" s="46"/>
      <c r="N442" s="64"/>
      <c r="O442" s="45"/>
      <c r="P442" s="45"/>
      <c r="Q442" s="65"/>
      <c r="R442" s="46" t="s">
        <v>0</v>
      </c>
      <c r="S442" s="46"/>
      <c r="T442" s="67"/>
      <c r="U442" s="45"/>
      <c r="V442" s="40" t="s">
        <v>0</v>
      </c>
      <c r="W442" s="45"/>
      <c r="X442" s="62"/>
      <c r="Y442" s="46"/>
      <c r="Z442" s="46" t="s">
        <v>0</v>
      </c>
      <c r="AA442" s="46"/>
      <c r="AB442" s="64"/>
      <c r="AC442" s="45"/>
      <c r="AD442" s="45"/>
      <c r="AE442" s="65"/>
      <c r="AF442" s="46" t="s">
        <v>0</v>
      </c>
      <c r="AG442" s="46"/>
      <c r="AH442" s="67"/>
      <c r="AI442" s="45"/>
      <c r="AJ442" s="40" t="s">
        <v>0</v>
      </c>
      <c r="AK442" s="45"/>
      <c r="AL442" s="62"/>
      <c r="AM442" s="46"/>
      <c r="AN442" s="46" t="s">
        <v>0</v>
      </c>
      <c r="AP442" s="64"/>
      <c r="AS442" s="65"/>
      <c r="AT442" s="46" t="s">
        <v>0</v>
      </c>
      <c r="AU442" s="46"/>
      <c r="AV442" s="67"/>
      <c r="AW442" s="45"/>
      <c r="AX442" s="40" t="s">
        <v>0</v>
      </c>
      <c r="AY442" s="45"/>
      <c r="AZ442" s="62"/>
      <c r="BA442" s="46"/>
      <c r="BB442" s="46" t="s">
        <v>0</v>
      </c>
      <c r="BD442" s="64"/>
    </row>
    <row r="443" spans="3:56" ht="12" customHeight="1" x14ac:dyDescent="0.2">
      <c r="C443" s="61"/>
      <c r="D443" s="45" t="s">
        <v>1</v>
      </c>
      <c r="E443" s="45"/>
      <c r="F443" s="67"/>
      <c r="G443" s="45"/>
      <c r="H443" s="38" t="s">
        <v>1</v>
      </c>
      <c r="I443" s="45"/>
      <c r="J443" s="67"/>
      <c r="K443" s="45"/>
      <c r="L443" s="45" t="s">
        <v>1</v>
      </c>
      <c r="M443" s="45"/>
      <c r="N443" s="67"/>
      <c r="O443" s="45"/>
      <c r="P443" s="45"/>
      <c r="Q443" s="61"/>
      <c r="R443" s="45" t="s">
        <v>1</v>
      </c>
      <c r="S443" s="45"/>
      <c r="T443" s="67"/>
      <c r="U443" s="45"/>
      <c r="V443" s="38" t="s">
        <v>1</v>
      </c>
      <c r="W443" s="45"/>
      <c r="X443" s="67"/>
      <c r="Y443" s="45"/>
      <c r="Z443" s="45" t="s">
        <v>1</v>
      </c>
      <c r="AA443" s="45"/>
      <c r="AB443" s="67"/>
      <c r="AC443" s="45"/>
      <c r="AD443" s="45"/>
      <c r="AE443" s="61"/>
      <c r="AF443" s="45" t="s">
        <v>1</v>
      </c>
      <c r="AG443" s="45"/>
      <c r="AH443" s="67"/>
      <c r="AI443" s="45"/>
      <c r="AJ443" s="38" t="s">
        <v>1</v>
      </c>
      <c r="AK443" s="45"/>
      <c r="AL443" s="67"/>
      <c r="AM443" s="45"/>
      <c r="AN443" s="45" t="s">
        <v>1</v>
      </c>
      <c r="AP443" s="67"/>
      <c r="AS443" s="61"/>
      <c r="AT443" s="45" t="s">
        <v>1</v>
      </c>
      <c r="AU443" s="45"/>
      <c r="AV443" s="67"/>
      <c r="AW443" s="45"/>
      <c r="AX443" s="38" t="s">
        <v>1</v>
      </c>
      <c r="AY443" s="45"/>
      <c r="AZ443" s="67"/>
      <c r="BA443" s="45"/>
      <c r="BB443" s="45" t="s">
        <v>1</v>
      </c>
      <c r="BD443" s="67"/>
    </row>
    <row r="444" spans="3:56" ht="12" customHeight="1" x14ac:dyDescent="0.2">
      <c r="C444" s="61"/>
      <c r="D444" s="45" t="s">
        <v>2</v>
      </c>
      <c r="E444" s="45"/>
      <c r="F444" s="67"/>
      <c r="G444" s="45"/>
      <c r="H444" s="38" t="s">
        <v>2</v>
      </c>
      <c r="I444" s="45"/>
      <c r="J444" s="67"/>
      <c r="K444" s="45"/>
      <c r="L444" s="45" t="s">
        <v>2</v>
      </c>
      <c r="M444" s="45"/>
      <c r="N444" s="67"/>
      <c r="O444" s="45"/>
      <c r="P444" s="45"/>
      <c r="Q444" s="61"/>
      <c r="R444" s="45" t="s">
        <v>2</v>
      </c>
      <c r="S444" s="45"/>
      <c r="T444" s="67"/>
      <c r="U444" s="45"/>
      <c r="V444" s="38" t="s">
        <v>2</v>
      </c>
      <c r="W444" s="45"/>
      <c r="X444" s="67"/>
      <c r="Y444" s="45"/>
      <c r="Z444" s="45" t="s">
        <v>2</v>
      </c>
      <c r="AA444" s="45"/>
      <c r="AB444" s="67"/>
      <c r="AC444" s="45"/>
      <c r="AD444" s="45"/>
      <c r="AE444" s="61"/>
      <c r="AF444" s="45" t="s">
        <v>2</v>
      </c>
      <c r="AG444" s="45"/>
      <c r="AH444" s="67"/>
      <c r="AI444" s="45"/>
      <c r="AJ444" s="38" t="s">
        <v>2</v>
      </c>
      <c r="AK444" s="45"/>
      <c r="AL444" s="67"/>
      <c r="AM444" s="45"/>
      <c r="AN444" s="45" t="s">
        <v>2</v>
      </c>
      <c r="AP444" s="67"/>
      <c r="AS444" s="61"/>
      <c r="AT444" s="45" t="s">
        <v>2</v>
      </c>
      <c r="AU444" s="45"/>
      <c r="AV444" s="67"/>
      <c r="AW444" s="45"/>
      <c r="AX444" s="38" t="s">
        <v>2</v>
      </c>
      <c r="AY444" s="45"/>
      <c r="AZ444" s="67"/>
      <c r="BA444" s="45"/>
      <c r="BB444" s="45" t="s">
        <v>2</v>
      </c>
      <c r="BD444" s="67"/>
    </row>
    <row r="445" spans="3:56" ht="12" customHeight="1" x14ac:dyDescent="0.2">
      <c r="C445" s="70"/>
      <c r="D445" s="49" t="s">
        <v>3</v>
      </c>
      <c r="E445" s="49"/>
      <c r="F445" s="71"/>
      <c r="G445" s="49"/>
      <c r="H445" s="39" t="s">
        <v>3</v>
      </c>
      <c r="I445" s="49"/>
      <c r="J445" s="71"/>
      <c r="K445" s="49"/>
      <c r="L445" s="49" t="s">
        <v>3</v>
      </c>
      <c r="M445" s="49"/>
      <c r="N445" s="71"/>
      <c r="O445" s="45"/>
      <c r="P445" s="45"/>
      <c r="Q445" s="70"/>
      <c r="R445" s="49" t="s">
        <v>3</v>
      </c>
      <c r="S445" s="49"/>
      <c r="T445" s="71"/>
      <c r="U445" s="49"/>
      <c r="V445" s="39" t="s">
        <v>3</v>
      </c>
      <c r="W445" s="49"/>
      <c r="X445" s="71"/>
      <c r="Y445" s="49"/>
      <c r="Z445" s="49" t="s">
        <v>3</v>
      </c>
      <c r="AA445" s="49"/>
      <c r="AB445" s="71"/>
      <c r="AC445" s="45"/>
      <c r="AD445" s="45"/>
      <c r="AE445" s="70"/>
      <c r="AF445" s="49" t="s">
        <v>3</v>
      </c>
      <c r="AG445" s="49"/>
      <c r="AH445" s="71"/>
      <c r="AI445" s="49"/>
      <c r="AJ445" s="39" t="s">
        <v>3</v>
      </c>
      <c r="AK445" s="49"/>
      <c r="AL445" s="71"/>
      <c r="AM445" s="49"/>
      <c r="AN445" s="49" t="s">
        <v>3</v>
      </c>
      <c r="AP445" s="71"/>
      <c r="AS445" s="70"/>
      <c r="AT445" s="49" t="s">
        <v>3</v>
      </c>
      <c r="AU445" s="49"/>
      <c r="AV445" s="71"/>
      <c r="AW445" s="49"/>
      <c r="AX445" s="39" t="s">
        <v>3</v>
      </c>
      <c r="AY445" s="49"/>
      <c r="AZ445" s="71"/>
      <c r="BA445" s="49"/>
      <c r="BB445" s="49" t="s">
        <v>3</v>
      </c>
      <c r="BD445" s="71"/>
    </row>
    <row r="446" spans="3:56" ht="12" customHeight="1" x14ac:dyDescent="0.2">
      <c r="C446" s="61"/>
      <c r="D446" s="45" t="s">
        <v>0</v>
      </c>
      <c r="E446" s="67"/>
      <c r="F446" s="45" t="s">
        <v>0</v>
      </c>
      <c r="G446" s="45"/>
      <c r="H446" s="67"/>
      <c r="I446" s="45" t="s">
        <v>0</v>
      </c>
      <c r="J446" s="45"/>
      <c r="K446" s="67"/>
      <c r="L446" s="45" t="s">
        <v>0</v>
      </c>
      <c r="M446" s="45"/>
      <c r="N446" s="67"/>
      <c r="O446" s="45"/>
      <c r="P446" s="45"/>
      <c r="Q446" s="61"/>
      <c r="R446" s="45" t="s">
        <v>0</v>
      </c>
      <c r="S446" s="67"/>
      <c r="T446" s="45" t="s">
        <v>0</v>
      </c>
      <c r="U446" s="45"/>
      <c r="V446" s="67"/>
      <c r="W446" s="45" t="s">
        <v>0</v>
      </c>
      <c r="X446" s="45"/>
      <c r="Y446" s="67"/>
      <c r="Z446" s="45" t="s">
        <v>0</v>
      </c>
      <c r="AA446" s="45"/>
      <c r="AB446" s="67"/>
      <c r="AC446" s="45"/>
      <c r="AD446" s="45"/>
      <c r="AE446" s="61"/>
      <c r="AF446" s="45" t="s">
        <v>0</v>
      </c>
      <c r="AG446" s="67"/>
      <c r="AH446" s="45" t="s">
        <v>0</v>
      </c>
      <c r="AI446" s="45"/>
      <c r="AJ446" s="67"/>
      <c r="AK446" s="45" t="s">
        <v>0</v>
      </c>
      <c r="AL446" s="45"/>
      <c r="AM446" s="67"/>
      <c r="AN446" s="45" t="s">
        <v>0</v>
      </c>
      <c r="AP446" s="67"/>
      <c r="AS446" s="61"/>
      <c r="AT446" s="45" t="s">
        <v>0</v>
      </c>
      <c r="AU446" s="67"/>
      <c r="AV446" s="45" t="s">
        <v>0</v>
      </c>
      <c r="AW446" s="45"/>
      <c r="AX446" s="67"/>
      <c r="AY446" s="45" t="s">
        <v>0</v>
      </c>
      <c r="AZ446" s="45"/>
      <c r="BA446" s="67"/>
      <c r="BB446" s="45" t="s">
        <v>0</v>
      </c>
      <c r="BD446" s="67"/>
    </row>
    <row r="447" spans="3:56" ht="12" customHeight="1" x14ac:dyDescent="0.2">
      <c r="C447" s="61"/>
      <c r="D447" s="45" t="s">
        <v>1</v>
      </c>
      <c r="E447" s="67"/>
      <c r="F447" s="45" t="s">
        <v>1</v>
      </c>
      <c r="G447" s="45"/>
      <c r="H447" s="67"/>
      <c r="I447" s="45" t="s">
        <v>1</v>
      </c>
      <c r="J447" s="45"/>
      <c r="K447" s="67"/>
      <c r="L447" s="45" t="s">
        <v>1</v>
      </c>
      <c r="M447" s="45"/>
      <c r="N447" s="67"/>
      <c r="O447" s="45"/>
      <c r="P447" s="45"/>
      <c r="Q447" s="61"/>
      <c r="R447" s="45" t="s">
        <v>1</v>
      </c>
      <c r="S447" s="67"/>
      <c r="T447" s="45" t="s">
        <v>1</v>
      </c>
      <c r="U447" s="45"/>
      <c r="V447" s="67"/>
      <c r="W447" s="45" t="s">
        <v>1</v>
      </c>
      <c r="X447" s="45"/>
      <c r="Y447" s="67"/>
      <c r="Z447" s="45" t="s">
        <v>1</v>
      </c>
      <c r="AA447" s="45"/>
      <c r="AB447" s="67"/>
      <c r="AC447" s="45"/>
      <c r="AD447" s="45"/>
      <c r="AE447" s="61"/>
      <c r="AF447" s="45" t="s">
        <v>1</v>
      </c>
      <c r="AG447" s="67"/>
      <c r="AH447" s="45" t="s">
        <v>1</v>
      </c>
      <c r="AI447" s="45"/>
      <c r="AJ447" s="67"/>
      <c r="AK447" s="45" t="s">
        <v>1</v>
      </c>
      <c r="AL447" s="45"/>
      <c r="AM447" s="67"/>
      <c r="AN447" s="45" t="s">
        <v>1</v>
      </c>
      <c r="AP447" s="67"/>
      <c r="AS447" s="61"/>
      <c r="AT447" s="45" t="s">
        <v>1</v>
      </c>
      <c r="AU447" s="67"/>
      <c r="AV447" s="45" t="s">
        <v>1</v>
      </c>
      <c r="AW447" s="45"/>
      <c r="AX447" s="67"/>
      <c r="AY447" s="45" t="s">
        <v>1</v>
      </c>
      <c r="AZ447" s="45"/>
      <c r="BA447" s="67"/>
      <c r="BB447" s="45" t="s">
        <v>1</v>
      </c>
      <c r="BD447" s="67"/>
    </row>
    <row r="448" spans="3:56" ht="12" customHeight="1" x14ac:dyDescent="0.2">
      <c r="C448" s="61"/>
      <c r="D448" s="45" t="s">
        <v>2</v>
      </c>
      <c r="E448" s="67"/>
      <c r="F448" s="45" t="s">
        <v>2</v>
      </c>
      <c r="G448" s="45"/>
      <c r="H448" s="67"/>
      <c r="I448" s="45" t="s">
        <v>2</v>
      </c>
      <c r="J448" s="45"/>
      <c r="K448" s="67"/>
      <c r="L448" s="45" t="s">
        <v>2</v>
      </c>
      <c r="M448" s="45"/>
      <c r="N448" s="67"/>
      <c r="O448" s="45"/>
      <c r="P448" s="45"/>
      <c r="Q448" s="61"/>
      <c r="R448" s="45" t="s">
        <v>2</v>
      </c>
      <c r="S448" s="67"/>
      <c r="T448" s="45" t="s">
        <v>2</v>
      </c>
      <c r="U448" s="45"/>
      <c r="V448" s="67"/>
      <c r="W448" s="45" t="s">
        <v>2</v>
      </c>
      <c r="X448" s="45"/>
      <c r="Y448" s="67"/>
      <c r="Z448" s="45" t="s">
        <v>2</v>
      </c>
      <c r="AA448" s="45"/>
      <c r="AB448" s="67"/>
      <c r="AC448" s="45"/>
      <c r="AD448" s="45"/>
      <c r="AE448" s="61"/>
      <c r="AF448" s="45" t="s">
        <v>2</v>
      </c>
      <c r="AG448" s="67"/>
      <c r="AH448" s="45" t="s">
        <v>2</v>
      </c>
      <c r="AI448" s="45"/>
      <c r="AJ448" s="67"/>
      <c r="AK448" s="45" t="s">
        <v>2</v>
      </c>
      <c r="AL448" s="45"/>
      <c r="AM448" s="67"/>
      <c r="AN448" s="45" t="s">
        <v>2</v>
      </c>
      <c r="AP448" s="67"/>
      <c r="AS448" s="61"/>
      <c r="AT448" s="45" t="s">
        <v>2</v>
      </c>
      <c r="AU448" s="67"/>
      <c r="AV448" s="45" t="s">
        <v>2</v>
      </c>
      <c r="AW448" s="45"/>
      <c r="AX448" s="67"/>
      <c r="AY448" s="45" t="s">
        <v>2</v>
      </c>
      <c r="AZ448" s="45"/>
      <c r="BA448" s="67"/>
      <c r="BB448" s="45" t="s">
        <v>2</v>
      </c>
      <c r="BD448" s="67"/>
    </row>
    <row r="449" spans="3:56" ht="12" customHeight="1" x14ac:dyDescent="0.2">
      <c r="C449" s="70"/>
      <c r="D449" s="49" t="s">
        <v>3</v>
      </c>
      <c r="E449" s="71"/>
      <c r="F449" s="49" t="s">
        <v>3</v>
      </c>
      <c r="G449" s="49"/>
      <c r="H449" s="71"/>
      <c r="I449" s="49" t="s">
        <v>3</v>
      </c>
      <c r="J449" s="49"/>
      <c r="K449" s="71"/>
      <c r="L449" s="49" t="s">
        <v>3</v>
      </c>
      <c r="M449" s="49"/>
      <c r="N449" s="71"/>
      <c r="O449" s="45"/>
      <c r="P449" s="45"/>
      <c r="Q449" s="70"/>
      <c r="R449" s="49" t="s">
        <v>3</v>
      </c>
      <c r="S449" s="71"/>
      <c r="T449" s="49" t="s">
        <v>3</v>
      </c>
      <c r="U449" s="49"/>
      <c r="V449" s="71"/>
      <c r="W449" s="49" t="s">
        <v>3</v>
      </c>
      <c r="X449" s="49"/>
      <c r="Y449" s="71"/>
      <c r="Z449" s="49" t="s">
        <v>3</v>
      </c>
      <c r="AA449" s="49"/>
      <c r="AB449" s="71"/>
      <c r="AC449" s="45"/>
      <c r="AD449" s="45"/>
      <c r="AE449" s="70"/>
      <c r="AF449" s="49" t="s">
        <v>3</v>
      </c>
      <c r="AG449" s="71"/>
      <c r="AH449" s="49" t="s">
        <v>3</v>
      </c>
      <c r="AI449" s="49"/>
      <c r="AJ449" s="71"/>
      <c r="AK449" s="49" t="s">
        <v>3</v>
      </c>
      <c r="AL449" s="49"/>
      <c r="AM449" s="71"/>
      <c r="AN449" s="49" t="s">
        <v>3</v>
      </c>
      <c r="AP449" s="71"/>
      <c r="AS449" s="70"/>
      <c r="AT449" s="49" t="s">
        <v>3</v>
      </c>
      <c r="AU449" s="71"/>
      <c r="AV449" s="49" t="s">
        <v>3</v>
      </c>
      <c r="AW449" s="49"/>
      <c r="AX449" s="71"/>
      <c r="AY449" s="49" t="s">
        <v>3</v>
      </c>
      <c r="AZ449" s="49"/>
      <c r="BA449" s="71"/>
      <c r="BB449" s="49" t="s">
        <v>3</v>
      </c>
      <c r="BD449" s="71"/>
    </row>
    <row r="451" spans="3:56" ht="12" customHeight="1" x14ac:dyDescent="0.2">
      <c r="C451" s="132" t="s">
        <v>67</v>
      </c>
      <c r="D451" s="132"/>
      <c r="E451" s="132"/>
      <c r="F451" s="132"/>
      <c r="G451" s="132"/>
      <c r="H451" s="43"/>
      <c r="I451" s="43"/>
      <c r="J451" s="43"/>
      <c r="K451" s="43"/>
      <c r="L451" s="43"/>
      <c r="M451" s="43"/>
      <c r="N451" s="43"/>
      <c r="O451" s="44"/>
      <c r="P451" s="44"/>
      <c r="Q451" s="44"/>
      <c r="R451" s="44"/>
      <c r="S451" s="44"/>
      <c r="T451" s="44"/>
      <c r="U451" s="44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44"/>
      <c r="AJ451" s="44"/>
      <c r="AK451" s="44"/>
      <c r="AL451" s="44"/>
      <c r="AM451" s="44"/>
      <c r="AN451" s="44"/>
      <c r="AP451" s="44"/>
      <c r="AS451" s="44"/>
      <c r="AT451" s="44"/>
      <c r="AU451" s="44"/>
      <c r="AV451" s="44"/>
      <c r="AW451" s="44"/>
      <c r="AX451" s="44"/>
      <c r="AY451" s="44"/>
      <c r="AZ451" s="44"/>
      <c r="BA451" s="44"/>
      <c r="BB451" s="44"/>
      <c r="BC451" s="44"/>
      <c r="BD451" s="44"/>
    </row>
    <row r="452" spans="3:56" ht="12" customHeight="1" x14ac:dyDescent="0.2">
      <c r="C452" s="133"/>
      <c r="D452" s="133"/>
      <c r="E452" s="133"/>
      <c r="F452" s="133"/>
      <c r="G452" s="133"/>
      <c r="H452" s="44"/>
      <c r="I452" s="44"/>
      <c r="J452" s="44"/>
      <c r="K452" s="44"/>
      <c r="L452" s="44"/>
      <c r="M452" s="44"/>
      <c r="N452" s="44"/>
      <c r="O452" s="44"/>
      <c r="P452" s="44"/>
      <c r="Q452" s="44"/>
      <c r="R452" s="44"/>
      <c r="S452" s="44"/>
      <c r="T452" s="44"/>
      <c r="U452" s="44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44"/>
      <c r="AJ452" s="44"/>
      <c r="AK452" s="44"/>
      <c r="AL452" s="44"/>
      <c r="AM452" s="44"/>
      <c r="AN452" s="44"/>
      <c r="AP452" s="44"/>
      <c r="AS452" s="44"/>
      <c r="AT452" s="44"/>
      <c r="AU452" s="44"/>
      <c r="AV452" s="44"/>
      <c r="AW452" s="44"/>
      <c r="AX452" s="44"/>
      <c r="AY452" s="44"/>
      <c r="AZ452" s="44"/>
      <c r="BA452" s="44"/>
      <c r="BB452" s="44"/>
      <c r="BC452" s="44"/>
      <c r="BD452" s="44"/>
    </row>
    <row r="453" spans="3:56" ht="12" customHeight="1" thickBot="1" x14ac:dyDescent="0.25">
      <c r="C453" s="61"/>
      <c r="D453" s="45" t="s">
        <v>0</v>
      </c>
      <c r="E453" s="45"/>
      <c r="F453" s="62"/>
      <c r="G453" s="45"/>
      <c r="H453" s="46" t="s">
        <v>0</v>
      </c>
      <c r="I453" s="46"/>
      <c r="J453" s="63"/>
      <c r="K453" s="46"/>
      <c r="L453" s="46" t="s">
        <v>0</v>
      </c>
      <c r="M453" s="46"/>
      <c r="N453" s="64"/>
      <c r="O453" s="45"/>
      <c r="P453" s="45"/>
      <c r="Q453" s="65"/>
      <c r="R453" s="46" t="s">
        <v>0</v>
      </c>
      <c r="S453" s="46"/>
      <c r="T453" s="63"/>
      <c r="U453" s="46"/>
      <c r="V453" s="46" t="s">
        <v>0</v>
      </c>
      <c r="W453" s="46"/>
      <c r="X453" s="63"/>
      <c r="Y453" s="46"/>
      <c r="Z453" s="46" t="s">
        <v>0</v>
      </c>
      <c r="AA453" s="46"/>
      <c r="AB453" s="64"/>
      <c r="AC453" s="45"/>
      <c r="AD453" s="45"/>
      <c r="AE453" s="65"/>
      <c r="AF453" s="46" t="s">
        <v>0</v>
      </c>
      <c r="AG453" s="46"/>
      <c r="AH453" s="63"/>
      <c r="AI453" s="46"/>
      <c r="AJ453" s="46" t="s">
        <v>0</v>
      </c>
      <c r="AK453" s="46"/>
      <c r="AL453" s="63"/>
      <c r="AM453" s="81"/>
      <c r="AN453" s="46" t="s">
        <v>0</v>
      </c>
      <c r="AP453" s="64"/>
      <c r="AS453" s="65"/>
      <c r="AT453" s="46" t="s">
        <v>0</v>
      </c>
      <c r="AU453" s="46"/>
      <c r="AV453" s="63"/>
      <c r="AW453" s="46"/>
      <c r="AX453" s="46" t="s">
        <v>0</v>
      </c>
      <c r="AY453" s="46"/>
      <c r="AZ453" s="63"/>
      <c r="BA453" s="81"/>
      <c r="BB453" s="46" t="s">
        <v>0</v>
      </c>
      <c r="BD453" s="64"/>
    </row>
    <row r="454" spans="3:56" ht="12" customHeight="1" x14ac:dyDescent="0.2">
      <c r="C454" s="61"/>
      <c r="D454" s="45" t="s">
        <v>1</v>
      </c>
      <c r="E454" s="45"/>
      <c r="F454" s="62"/>
      <c r="G454" s="47"/>
      <c r="H454" s="47" t="s">
        <v>1</v>
      </c>
      <c r="I454" s="47"/>
      <c r="J454" s="66"/>
      <c r="K454" s="45"/>
      <c r="L454" s="45" t="s">
        <v>1</v>
      </c>
      <c r="M454" s="45"/>
      <c r="N454" s="67"/>
      <c r="O454" s="45"/>
      <c r="P454" s="45"/>
      <c r="Q454" s="61"/>
      <c r="R454" s="45" t="s">
        <v>1</v>
      </c>
      <c r="S454" s="45"/>
      <c r="T454" s="62"/>
      <c r="U454" s="47"/>
      <c r="V454" s="47" t="s">
        <v>1</v>
      </c>
      <c r="W454" s="47"/>
      <c r="X454" s="66"/>
      <c r="Y454" s="45"/>
      <c r="Z454" s="45" t="s">
        <v>1</v>
      </c>
      <c r="AA454" s="45"/>
      <c r="AB454" s="67"/>
      <c r="AC454" s="45"/>
      <c r="AD454" s="45"/>
      <c r="AE454" s="61"/>
      <c r="AF454" s="45" t="s">
        <v>1</v>
      </c>
      <c r="AG454" s="45"/>
      <c r="AH454" s="62"/>
      <c r="AI454" s="47"/>
      <c r="AJ454" s="47" t="s">
        <v>1</v>
      </c>
      <c r="AK454" s="47"/>
      <c r="AL454" s="66"/>
      <c r="AM454" s="82"/>
      <c r="AN454" s="45" t="s">
        <v>1</v>
      </c>
      <c r="AP454" s="67"/>
      <c r="AS454" s="61"/>
      <c r="AT454" s="45" t="s">
        <v>1</v>
      </c>
      <c r="AU454" s="45"/>
      <c r="AV454" s="62"/>
      <c r="AW454" s="47"/>
      <c r="AX454" s="47" t="s">
        <v>1</v>
      </c>
      <c r="AY454" s="47"/>
      <c r="AZ454" s="66"/>
      <c r="BA454" s="82"/>
      <c r="BB454" s="45" t="s">
        <v>1</v>
      </c>
      <c r="BD454" s="67"/>
    </row>
    <row r="455" spans="3:56" ht="12" customHeight="1" x14ac:dyDescent="0.2">
      <c r="C455" s="61"/>
      <c r="D455" s="45" t="s">
        <v>2</v>
      </c>
      <c r="E455" s="45"/>
      <c r="F455" s="62"/>
      <c r="G455" s="45"/>
      <c r="H455" s="45" t="s">
        <v>2</v>
      </c>
      <c r="I455" s="45"/>
      <c r="J455" s="62"/>
      <c r="K455" s="45"/>
      <c r="L455" s="45" t="s">
        <v>2</v>
      </c>
      <c r="M455" s="45"/>
      <c r="N455" s="67"/>
      <c r="O455" s="45"/>
      <c r="P455" s="45"/>
      <c r="Q455" s="61"/>
      <c r="R455" s="45" t="s">
        <v>2</v>
      </c>
      <c r="S455" s="45"/>
      <c r="T455" s="62"/>
      <c r="U455" s="45"/>
      <c r="V455" s="45" t="s">
        <v>2</v>
      </c>
      <c r="W455" s="45"/>
      <c r="X455" s="62"/>
      <c r="Y455" s="45"/>
      <c r="Z455" s="45" t="s">
        <v>2</v>
      </c>
      <c r="AA455" s="45"/>
      <c r="AB455" s="67"/>
      <c r="AC455" s="45"/>
      <c r="AD455" s="45"/>
      <c r="AE455" s="61"/>
      <c r="AF455" s="45" t="s">
        <v>2</v>
      </c>
      <c r="AG455" s="45"/>
      <c r="AH455" s="62"/>
      <c r="AI455" s="45"/>
      <c r="AJ455" s="45" t="s">
        <v>2</v>
      </c>
      <c r="AK455" s="45"/>
      <c r="AL455" s="62"/>
      <c r="AM455" s="82"/>
      <c r="AN455" s="45" t="s">
        <v>2</v>
      </c>
      <c r="AP455" s="67"/>
      <c r="AS455" s="61"/>
      <c r="AT455" s="45" t="s">
        <v>2</v>
      </c>
      <c r="AU455" s="45"/>
      <c r="AV455" s="62"/>
      <c r="AW455" s="45"/>
      <c r="AX455" s="45" t="s">
        <v>2</v>
      </c>
      <c r="AY455" s="45"/>
      <c r="AZ455" s="62"/>
      <c r="BA455" s="82"/>
      <c r="BB455" s="45" t="s">
        <v>2</v>
      </c>
      <c r="BD455" s="67"/>
    </row>
    <row r="456" spans="3:56" ht="12" customHeight="1" thickBot="1" x14ac:dyDescent="0.25">
      <c r="C456" s="61"/>
      <c r="D456" s="45" t="s">
        <v>3</v>
      </c>
      <c r="E456" s="45"/>
      <c r="F456" s="68"/>
      <c r="G456" s="48"/>
      <c r="H456" s="48" t="s">
        <v>3</v>
      </c>
      <c r="I456" s="45"/>
      <c r="J456" s="69"/>
      <c r="K456" s="45"/>
      <c r="L456" s="45" t="s">
        <v>3</v>
      </c>
      <c r="M456" s="45"/>
      <c r="N456" s="67"/>
      <c r="O456" s="45"/>
      <c r="P456" s="45"/>
      <c r="Q456" s="61"/>
      <c r="R456" s="45" t="s">
        <v>3</v>
      </c>
      <c r="S456" s="45"/>
      <c r="T456" s="68"/>
      <c r="U456" s="48"/>
      <c r="V456" s="48" t="s">
        <v>3</v>
      </c>
      <c r="W456" s="48"/>
      <c r="X456" s="69"/>
      <c r="Y456" s="45"/>
      <c r="Z456" s="45" t="s">
        <v>3</v>
      </c>
      <c r="AA456" s="45"/>
      <c r="AB456" s="67"/>
      <c r="AC456" s="45"/>
      <c r="AD456" s="45"/>
      <c r="AE456" s="61"/>
      <c r="AF456" s="45" t="s">
        <v>3</v>
      </c>
      <c r="AG456" s="45"/>
      <c r="AH456" s="68"/>
      <c r="AI456" s="48"/>
      <c r="AJ456" s="48" t="s">
        <v>3</v>
      </c>
      <c r="AK456" s="48"/>
      <c r="AL456" s="69"/>
      <c r="AM456" s="83"/>
      <c r="AN456" s="45" t="s">
        <v>3</v>
      </c>
      <c r="AP456" s="67"/>
      <c r="AS456" s="61"/>
      <c r="AT456" s="45" t="s">
        <v>3</v>
      </c>
      <c r="AU456" s="45"/>
      <c r="AV456" s="68"/>
      <c r="AW456" s="48"/>
      <c r="AX456" s="48" t="s">
        <v>3</v>
      </c>
      <c r="AY456" s="48"/>
      <c r="AZ456" s="69"/>
      <c r="BA456" s="83"/>
      <c r="BB456" s="45" t="s">
        <v>3</v>
      </c>
      <c r="BD456" s="67"/>
    </row>
    <row r="457" spans="3:56" ht="12" customHeight="1" x14ac:dyDescent="0.2">
      <c r="C457" s="65"/>
      <c r="D457" s="46" t="s">
        <v>0</v>
      </c>
      <c r="E457" s="46"/>
      <c r="F457" s="67"/>
      <c r="G457" s="45"/>
      <c r="H457" s="40" t="s">
        <v>0</v>
      </c>
      <c r="I457" s="46"/>
      <c r="J457" s="62"/>
      <c r="K457" s="46"/>
      <c r="L457" s="46" t="s">
        <v>0</v>
      </c>
      <c r="M457" s="46"/>
      <c r="N457" s="64"/>
      <c r="O457" s="45"/>
      <c r="P457" s="45"/>
      <c r="Q457" s="65"/>
      <c r="R457" s="46" t="s">
        <v>0</v>
      </c>
      <c r="S457" s="46"/>
      <c r="T457" s="67"/>
      <c r="U457" s="45"/>
      <c r="V457" s="40" t="s">
        <v>0</v>
      </c>
      <c r="W457" s="45"/>
      <c r="X457" s="62"/>
      <c r="Y457" s="46"/>
      <c r="Z457" s="46" t="s">
        <v>0</v>
      </c>
      <c r="AA457" s="46"/>
      <c r="AB457" s="64"/>
      <c r="AC457" s="45"/>
      <c r="AD457" s="45"/>
      <c r="AE457" s="65"/>
      <c r="AF457" s="46" t="s">
        <v>0</v>
      </c>
      <c r="AG457" s="46"/>
      <c r="AH457" s="67"/>
      <c r="AI457" s="45"/>
      <c r="AJ457" s="40" t="s">
        <v>0</v>
      </c>
      <c r="AK457" s="45"/>
      <c r="AL457" s="62"/>
      <c r="AM457" s="46"/>
      <c r="AN457" s="46" t="s">
        <v>0</v>
      </c>
      <c r="AP457" s="64"/>
      <c r="AS457" s="65"/>
      <c r="AT457" s="46" t="s">
        <v>0</v>
      </c>
      <c r="AU457" s="46"/>
      <c r="AV457" s="67"/>
      <c r="AW457" s="45"/>
      <c r="AX457" s="40" t="s">
        <v>0</v>
      </c>
      <c r="AY457" s="45"/>
      <c r="AZ457" s="62"/>
      <c r="BA457" s="46"/>
      <c r="BB457" s="46" t="s">
        <v>0</v>
      </c>
      <c r="BD457" s="64"/>
    </row>
    <row r="458" spans="3:56" ht="12" customHeight="1" x14ac:dyDescent="0.2">
      <c r="C458" s="61"/>
      <c r="D458" s="45" t="s">
        <v>1</v>
      </c>
      <c r="E458" s="45"/>
      <c r="F458" s="67"/>
      <c r="G458" s="45"/>
      <c r="H458" s="38" t="s">
        <v>1</v>
      </c>
      <c r="I458" s="45"/>
      <c r="J458" s="67"/>
      <c r="K458" s="45"/>
      <c r="L458" s="45" t="s">
        <v>1</v>
      </c>
      <c r="M458" s="45"/>
      <c r="N458" s="67"/>
      <c r="O458" s="45"/>
      <c r="P458" s="45"/>
      <c r="Q458" s="61"/>
      <c r="R458" s="45" t="s">
        <v>1</v>
      </c>
      <c r="S458" s="45"/>
      <c r="T458" s="67"/>
      <c r="U458" s="45"/>
      <c r="V458" s="38" t="s">
        <v>1</v>
      </c>
      <c r="W458" s="45"/>
      <c r="X458" s="67"/>
      <c r="Y458" s="45"/>
      <c r="Z458" s="45" t="s">
        <v>1</v>
      </c>
      <c r="AA458" s="45"/>
      <c r="AB458" s="67"/>
      <c r="AC458" s="45"/>
      <c r="AD458" s="45"/>
      <c r="AE458" s="61"/>
      <c r="AF458" s="45" t="s">
        <v>1</v>
      </c>
      <c r="AG458" s="45"/>
      <c r="AH458" s="67"/>
      <c r="AI458" s="45"/>
      <c r="AJ458" s="38" t="s">
        <v>1</v>
      </c>
      <c r="AK458" s="45"/>
      <c r="AL458" s="67"/>
      <c r="AM458" s="45"/>
      <c r="AN458" s="45" t="s">
        <v>1</v>
      </c>
      <c r="AP458" s="67"/>
      <c r="AS458" s="61"/>
      <c r="AT458" s="45" t="s">
        <v>1</v>
      </c>
      <c r="AU458" s="45"/>
      <c r="AV458" s="67"/>
      <c r="AW458" s="45"/>
      <c r="AX458" s="38" t="s">
        <v>1</v>
      </c>
      <c r="AY458" s="45"/>
      <c r="AZ458" s="67"/>
      <c r="BA458" s="45"/>
      <c r="BB458" s="45" t="s">
        <v>1</v>
      </c>
      <c r="BD458" s="67"/>
    </row>
    <row r="459" spans="3:56" ht="12" customHeight="1" x14ac:dyDescent="0.2">
      <c r="C459" s="61"/>
      <c r="D459" s="45" t="s">
        <v>2</v>
      </c>
      <c r="E459" s="45"/>
      <c r="F459" s="67"/>
      <c r="G459" s="45"/>
      <c r="H459" s="38" t="s">
        <v>2</v>
      </c>
      <c r="I459" s="45"/>
      <c r="J459" s="67"/>
      <c r="K459" s="45"/>
      <c r="L459" s="45" t="s">
        <v>2</v>
      </c>
      <c r="M459" s="45"/>
      <c r="N459" s="67"/>
      <c r="O459" s="45"/>
      <c r="P459" s="45"/>
      <c r="Q459" s="61"/>
      <c r="R459" s="45" t="s">
        <v>2</v>
      </c>
      <c r="S459" s="45"/>
      <c r="T459" s="67"/>
      <c r="U459" s="45"/>
      <c r="V459" s="38" t="s">
        <v>2</v>
      </c>
      <c r="W459" s="45"/>
      <c r="X459" s="67"/>
      <c r="Y459" s="45"/>
      <c r="Z459" s="45" t="s">
        <v>2</v>
      </c>
      <c r="AA459" s="45"/>
      <c r="AB459" s="67"/>
      <c r="AC459" s="45"/>
      <c r="AD459" s="45"/>
      <c r="AE459" s="61"/>
      <c r="AF459" s="45" t="s">
        <v>2</v>
      </c>
      <c r="AG459" s="45"/>
      <c r="AH459" s="67"/>
      <c r="AI459" s="45"/>
      <c r="AJ459" s="38" t="s">
        <v>2</v>
      </c>
      <c r="AK459" s="45"/>
      <c r="AL459" s="67"/>
      <c r="AM459" s="45"/>
      <c r="AN459" s="45" t="s">
        <v>2</v>
      </c>
      <c r="AP459" s="67"/>
      <c r="AS459" s="61"/>
      <c r="AT459" s="45" t="s">
        <v>2</v>
      </c>
      <c r="AU459" s="45"/>
      <c r="AV459" s="67"/>
      <c r="AW459" s="45"/>
      <c r="AX459" s="38" t="s">
        <v>2</v>
      </c>
      <c r="AY459" s="45"/>
      <c r="AZ459" s="67"/>
      <c r="BA459" s="45"/>
      <c r="BB459" s="45" t="s">
        <v>2</v>
      </c>
      <c r="BD459" s="67"/>
    </row>
    <row r="460" spans="3:56" ht="12" customHeight="1" x14ac:dyDescent="0.2">
      <c r="C460" s="70"/>
      <c r="D460" s="49" t="s">
        <v>3</v>
      </c>
      <c r="E460" s="49"/>
      <c r="F460" s="71"/>
      <c r="G460" s="49"/>
      <c r="H460" s="39" t="s">
        <v>3</v>
      </c>
      <c r="I460" s="49"/>
      <c r="J460" s="71"/>
      <c r="K460" s="49"/>
      <c r="L460" s="49" t="s">
        <v>3</v>
      </c>
      <c r="M460" s="49"/>
      <c r="N460" s="71"/>
      <c r="O460" s="45"/>
      <c r="P460" s="45"/>
      <c r="Q460" s="70"/>
      <c r="R460" s="49" t="s">
        <v>3</v>
      </c>
      <c r="S460" s="49"/>
      <c r="T460" s="71"/>
      <c r="U460" s="49"/>
      <c r="V460" s="39" t="s">
        <v>3</v>
      </c>
      <c r="W460" s="49"/>
      <c r="X460" s="71"/>
      <c r="Y460" s="49"/>
      <c r="Z460" s="49" t="s">
        <v>3</v>
      </c>
      <c r="AA460" s="49"/>
      <c r="AB460" s="71"/>
      <c r="AC460" s="45"/>
      <c r="AD460" s="45"/>
      <c r="AE460" s="70"/>
      <c r="AF460" s="49" t="s">
        <v>3</v>
      </c>
      <c r="AG460" s="49"/>
      <c r="AH460" s="71"/>
      <c r="AI460" s="49"/>
      <c r="AJ460" s="39" t="s">
        <v>3</v>
      </c>
      <c r="AK460" s="49"/>
      <c r="AL460" s="71"/>
      <c r="AM460" s="49"/>
      <c r="AN460" s="49" t="s">
        <v>3</v>
      </c>
      <c r="AP460" s="71"/>
      <c r="AS460" s="70"/>
      <c r="AT460" s="49" t="s">
        <v>3</v>
      </c>
      <c r="AU460" s="49"/>
      <c r="AV460" s="71"/>
      <c r="AW460" s="49"/>
      <c r="AX460" s="39" t="s">
        <v>3</v>
      </c>
      <c r="AY460" s="49"/>
      <c r="AZ460" s="71"/>
      <c r="BA460" s="49"/>
      <c r="BB460" s="49" t="s">
        <v>3</v>
      </c>
      <c r="BD460" s="71"/>
    </row>
    <row r="461" spans="3:56" ht="12" customHeight="1" x14ac:dyDescent="0.2">
      <c r="C461" s="61"/>
      <c r="D461" s="45" t="s">
        <v>0</v>
      </c>
      <c r="E461" s="67"/>
      <c r="F461" s="45" t="s">
        <v>0</v>
      </c>
      <c r="G461" s="45"/>
      <c r="H461" s="67"/>
      <c r="I461" s="45" t="s">
        <v>0</v>
      </c>
      <c r="J461" s="45"/>
      <c r="K461" s="67"/>
      <c r="L461" s="45" t="s">
        <v>0</v>
      </c>
      <c r="M461" s="45"/>
      <c r="N461" s="67"/>
      <c r="O461" s="45"/>
      <c r="P461" s="45"/>
      <c r="Q461" s="61"/>
      <c r="R461" s="45" t="s">
        <v>0</v>
      </c>
      <c r="S461" s="67"/>
      <c r="T461" s="45" t="s">
        <v>0</v>
      </c>
      <c r="U461" s="45"/>
      <c r="V461" s="67"/>
      <c r="W461" s="45" t="s">
        <v>0</v>
      </c>
      <c r="X461" s="45"/>
      <c r="Y461" s="67"/>
      <c r="Z461" s="45" t="s">
        <v>0</v>
      </c>
      <c r="AA461" s="45"/>
      <c r="AB461" s="67"/>
      <c r="AC461" s="45"/>
      <c r="AD461" s="45"/>
      <c r="AE461" s="61"/>
      <c r="AF461" s="45" t="s">
        <v>0</v>
      </c>
      <c r="AG461" s="67"/>
      <c r="AH461" s="45" t="s">
        <v>0</v>
      </c>
      <c r="AI461" s="45"/>
      <c r="AJ461" s="67"/>
      <c r="AK461" s="45" t="s">
        <v>0</v>
      </c>
      <c r="AL461" s="45"/>
      <c r="AM461" s="67"/>
      <c r="AN461" s="45" t="s">
        <v>0</v>
      </c>
      <c r="AP461" s="67"/>
      <c r="AS461" s="61"/>
      <c r="AT461" s="45" t="s">
        <v>0</v>
      </c>
      <c r="AU461" s="67"/>
      <c r="AV461" s="45" t="s">
        <v>0</v>
      </c>
      <c r="AW461" s="45"/>
      <c r="AX461" s="67"/>
      <c r="AY461" s="45" t="s">
        <v>0</v>
      </c>
      <c r="AZ461" s="45"/>
      <c r="BA461" s="67"/>
      <c r="BB461" s="45" t="s">
        <v>0</v>
      </c>
      <c r="BD461" s="67"/>
    </row>
    <row r="462" spans="3:56" ht="12" customHeight="1" x14ac:dyDescent="0.2">
      <c r="C462" s="61"/>
      <c r="D462" s="45" t="s">
        <v>1</v>
      </c>
      <c r="E462" s="67"/>
      <c r="F462" s="45" t="s">
        <v>1</v>
      </c>
      <c r="G462" s="45"/>
      <c r="H462" s="67"/>
      <c r="I462" s="45" t="s">
        <v>1</v>
      </c>
      <c r="J462" s="45"/>
      <c r="K462" s="67"/>
      <c r="L462" s="45" t="s">
        <v>1</v>
      </c>
      <c r="M462" s="45"/>
      <c r="N462" s="67"/>
      <c r="O462" s="45"/>
      <c r="P462" s="45"/>
      <c r="Q462" s="61"/>
      <c r="R462" s="45" t="s">
        <v>1</v>
      </c>
      <c r="S462" s="67"/>
      <c r="T462" s="45" t="s">
        <v>1</v>
      </c>
      <c r="U462" s="45"/>
      <c r="V462" s="67"/>
      <c r="W462" s="45" t="s">
        <v>1</v>
      </c>
      <c r="X462" s="45"/>
      <c r="Y462" s="67"/>
      <c r="Z462" s="45" t="s">
        <v>1</v>
      </c>
      <c r="AA462" s="45"/>
      <c r="AB462" s="67"/>
      <c r="AC462" s="45"/>
      <c r="AD462" s="45"/>
      <c r="AE462" s="61"/>
      <c r="AF462" s="45" t="s">
        <v>1</v>
      </c>
      <c r="AG462" s="67"/>
      <c r="AH462" s="45" t="s">
        <v>1</v>
      </c>
      <c r="AI462" s="45"/>
      <c r="AJ462" s="67"/>
      <c r="AK462" s="45" t="s">
        <v>1</v>
      </c>
      <c r="AL462" s="45"/>
      <c r="AM462" s="67"/>
      <c r="AN462" s="45" t="s">
        <v>1</v>
      </c>
      <c r="AP462" s="67"/>
      <c r="AS462" s="61"/>
      <c r="AT462" s="45" t="s">
        <v>1</v>
      </c>
      <c r="AU462" s="67"/>
      <c r="AV462" s="45" t="s">
        <v>1</v>
      </c>
      <c r="AW462" s="45"/>
      <c r="AX462" s="67"/>
      <c r="AY462" s="45" t="s">
        <v>1</v>
      </c>
      <c r="AZ462" s="45"/>
      <c r="BA462" s="67"/>
      <c r="BB462" s="45" t="s">
        <v>1</v>
      </c>
      <c r="BD462" s="67"/>
    </row>
    <row r="463" spans="3:56" ht="12" customHeight="1" x14ac:dyDescent="0.2">
      <c r="C463" s="61"/>
      <c r="D463" s="45" t="s">
        <v>2</v>
      </c>
      <c r="E463" s="67"/>
      <c r="F463" s="45" t="s">
        <v>2</v>
      </c>
      <c r="G463" s="45"/>
      <c r="H463" s="67"/>
      <c r="I463" s="45" t="s">
        <v>2</v>
      </c>
      <c r="J463" s="45"/>
      <c r="K463" s="67"/>
      <c r="L463" s="45" t="s">
        <v>2</v>
      </c>
      <c r="M463" s="45"/>
      <c r="N463" s="67"/>
      <c r="O463" s="45"/>
      <c r="P463" s="45"/>
      <c r="Q463" s="61"/>
      <c r="R463" s="45" t="s">
        <v>2</v>
      </c>
      <c r="S463" s="67"/>
      <c r="T463" s="45" t="s">
        <v>2</v>
      </c>
      <c r="U463" s="45"/>
      <c r="V463" s="67"/>
      <c r="W463" s="45" t="s">
        <v>2</v>
      </c>
      <c r="X463" s="45"/>
      <c r="Y463" s="67"/>
      <c r="Z463" s="45" t="s">
        <v>2</v>
      </c>
      <c r="AA463" s="45"/>
      <c r="AB463" s="67"/>
      <c r="AC463" s="45"/>
      <c r="AD463" s="45"/>
      <c r="AE463" s="61"/>
      <c r="AF463" s="45" t="s">
        <v>2</v>
      </c>
      <c r="AG463" s="67"/>
      <c r="AH463" s="45" t="s">
        <v>2</v>
      </c>
      <c r="AI463" s="45"/>
      <c r="AJ463" s="67"/>
      <c r="AK463" s="45" t="s">
        <v>2</v>
      </c>
      <c r="AL463" s="45"/>
      <c r="AM463" s="67"/>
      <c r="AN463" s="45" t="s">
        <v>2</v>
      </c>
      <c r="AP463" s="67"/>
      <c r="AS463" s="61"/>
      <c r="AT463" s="45" t="s">
        <v>2</v>
      </c>
      <c r="AU463" s="67"/>
      <c r="AV463" s="45" t="s">
        <v>2</v>
      </c>
      <c r="AW463" s="45"/>
      <c r="AX463" s="67"/>
      <c r="AY463" s="45" t="s">
        <v>2</v>
      </c>
      <c r="AZ463" s="45"/>
      <c r="BA463" s="67"/>
      <c r="BB463" s="45" t="s">
        <v>2</v>
      </c>
      <c r="BD463" s="67"/>
    </row>
    <row r="464" spans="3:56" ht="12" customHeight="1" x14ac:dyDescent="0.2">
      <c r="C464" s="70"/>
      <c r="D464" s="49" t="s">
        <v>3</v>
      </c>
      <c r="E464" s="71"/>
      <c r="F464" s="49" t="s">
        <v>3</v>
      </c>
      <c r="G464" s="49"/>
      <c r="H464" s="71"/>
      <c r="I464" s="49" t="s">
        <v>3</v>
      </c>
      <c r="J464" s="49"/>
      <c r="K464" s="71"/>
      <c r="L464" s="49" t="s">
        <v>3</v>
      </c>
      <c r="M464" s="49"/>
      <c r="N464" s="71"/>
      <c r="O464" s="45"/>
      <c r="P464" s="45"/>
      <c r="Q464" s="70"/>
      <c r="R464" s="49" t="s">
        <v>3</v>
      </c>
      <c r="S464" s="71"/>
      <c r="T464" s="49" t="s">
        <v>3</v>
      </c>
      <c r="U464" s="49"/>
      <c r="V464" s="71"/>
      <c r="W464" s="49" t="s">
        <v>3</v>
      </c>
      <c r="X464" s="49"/>
      <c r="Y464" s="71"/>
      <c r="Z464" s="49" t="s">
        <v>3</v>
      </c>
      <c r="AA464" s="49"/>
      <c r="AB464" s="71"/>
      <c r="AC464" s="45"/>
      <c r="AD464" s="45"/>
      <c r="AE464" s="70"/>
      <c r="AF464" s="49" t="s">
        <v>3</v>
      </c>
      <c r="AG464" s="71"/>
      <c r="AH464" s="49" t="s">
        <v>3</v>
      </c>
      <c r="AI464" s="49"/>
      <c r="AJ464" s="71"/>
      <c r="AK464" s="49" t="s">
        <v>3</v>
      </c>
      <c r="AL464" s="49"/>
      <c r="AM464" s="71"/>
      <c r="AN464" s="49" t="s">
        <v>3</v>
      </c>
      <c r="AP464" s="71"/>
      <c r="AS464" s="70"/>
      <c r="AT464" s="49" t="s">
        <v>3</v>
      </c>
      <c r="AU464" s="71"/>
      <c r="AV464" s="49" t="s">
        <v>3</v>
      </c>
      <c r="AW464" s="49"/>
      <c r="AX464" s="71"/>
      <c r="AY464" s="49" t="s">
        <v>3</v>
      </c>
      <c r="AZ464" s="49"/>
      <c r="BA464" s="71"/>
      <c r="BB464" s="49" t="s">
        <v>3</v>
      </c>
      <c r="BD464" s="71"/>
    </row>
    <row r="466" spans="3:56" ht="12" customHeight="1" x14ac:dyDescent="0.2">
      <c r="C466" s="132" t="s">
        <v>67</v>
      </c>
      <c r="D466" s="132"/>
      <c r="E466" s="132"/>
      <c r="F466" s="132"/>
      <c r="G466" s="132"/>
      <c r="H466" s="43"/>
      <c r="J466" s="43"/>
      <c r="K466" s="43"/>
      <c r="L466" s="43"/>
      <c r="M466" s="43"/>
      <c r="N466" s="43"/>
      <c r="O466" s="44"/>
      <c r="P466" s="44"/>
      <c r="Q466" s="44"/>
      <c r="R466" s="44"/>
      <c r="S466" s="44"/>
      <c r="T466" s="44"/>
      <c r="U466" s="44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44"/>
      <c r="AJ466" s="44"/>
      <c r="AK466" s="44"/>
      <c r="AL466" s="44"/>
      <c r="AM466" s="44"/>
      <c r="AN466" s="44"/>
      <c r="AP466" s="44"/>
      <c r="AS466" s="44"/>
      <c r="AT466" s="44"/>
      <c r="AU466" s="44"/>
      <c r="AV466" s="44"/>
      <c r="AW466" s="44"/>
      <c r="AX466" s="44"/>
      <c r="AY466" s="44"/>
      <c r="AZ466" s="44"/>
      <c r="BA466" s="44"/>
      <c r="BB466" s="44"/>
      <c r="BC466" s="44"/>
      <c r="BD466" s="44"/>
    </row>
    <row r="467" spans="3:56" ht="12" customHeight="1" x14ac:dyDescent="0.2">
      <c r="C467" s="133"/>
      <c r="D467" s="133"/>
      <c r="E467" s="133"/>
      <c r="F467" s="133"/>
      <c r="G467" s="133"/>
      <c r="H467" s="44"/>
      <c r="I467" s="44"/>
      <c r="J467" s="44"/>
      <c r="K467" s="44"/>
      <c r="L467" s="44"/>
      <c r="M467" s="44"/>
      <c r="N467" s="44"/>
      <c r="O467" s="44"/>
      <c r="P467" s="44"/>
      <c r="Q467" s="44"/>
      <c r="R467" s="44"/>
      <c r="S467" s="44"/>
      <c r="T467" s="44"/>
      <c r="U467" s="44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44"/>
      <c r="AJ467" s="44"/>
      <c r="AK467" s="44"/>
      <c r="AL467" s="44"/>
      <c r="AM467" s="44"/>
      <c r="AN467" s="44"/>
      <c r="AP467" s="44"/>
      <c r="AS467" s="44"/>
      <c r="AT467" s="44"/>
      <c r="AU467" s="44"/>
      <c r="AV467" s="44"/>
      <c r="AW467" s="44"/>
      <c r="AX467" s="44"/>
      <c r="AY467" s="44"/>
      <c r="AZ467" s="44"/>
      <c r="BA467" s="44"/>
      <c r="BB467" s="44"/>
      <c r="BC467" s="44"/>
      <c r="BD467" s="44"/>
    </row>
    <row r="468" spans="3:56" ht="12" customHeight="1" thickBot="1" x14ac:dyDescent="0.25">
      <c r="C468" s="61"/>
      <c r="D468" s="45" t="s">
        <v>0</v>
      </c>
      <c r="E468" s="45"/>
      <c r="F468" s="62"/>
      <c r="G468" s="45"/>
      <c r="H468" s="46" t="s">
        <v>0</v>
      </c>
      <c r="I468" s="46"/>
      <c r="J468" s="63"/>
      <c r="K468" s="46"/>
      <c r="L468" s="46" t="s">
        <v>0</v>
      </c>
      <c r="M468" s="46"/>
      <c r="N468" s="64"/>
      <c r="O468" s="45"/>
      <c r="P468" s="45"/>
      <c r="Q468" s="65"/>
      <c r="R468" s="46" t="s">
        <v>0</v>
      </c>
      <c r="S468" s="46"/>
      <c r="T468" s="63"/>
      <c r="U468" s="46"/>
      <c r="V468" s="46" t="s">
        <v>0</v>
      </c>
      <c r="W468" s="46"/>
      <c r="X468" s="63"/>
      <c r="Y468" s="46"/>
      <c r="Z468" s="46" t="s">
        <v>0</v>
      </c>
      <c r="AA468" s="46"/>
      <c r="AB468" s="64"/>
      <c r="AC468" s="45"/>
      <c r="AD468" s="45"/>
      <c r="AE468" s="65"/>
      <c r="AF468" s="46" t="s">
        <v>0</v>
      </c>
      <c r="AG468" s="46"/>
      <c r="AH468" s="63"/>
      <c r="AI468" s="46"/>
      <c r="AJ468" s="46" t="s">
        <v>0</v>
      </c>
      <c r="AK468" s="46"/>
      <c r="AL468" s="63"/>
      <c r="AM468" s="81"/>
      <c r="AN468" s="46" t="s">
        <v>0</v>
      </c>
      <c r="AP468" s="64"/>
      <c r="AS468" s="65"/>
      <c r="AT468" s="46" t="s">
        <v>0</v>
      </c>
      <c r="AU468" s="46"/>
      <c r="AV468" s="63"/>
      <c r="AW468" s="46"/>
      <c r="AX468" s="46" t="s">
        <v>0</v>
      </c>
      <c r="AY468" s="46"/>
      <c r="AZ468" s="63"/>
      <c r="BA468" s="81"/>
      <c r="BB468" s="46" t="s">
        <v>0</v>
      </c>
      <c r="BD468" s="64"/>
    </row>
    <row r="469" spans="3:56" ht="12" customHeight="1" x14ac:dyDescent="0.2">
      <c r="C469" s="61"/>
      <c r="D469" s="45" t="s">
        <v>1</v>
      </c>
      <c r="E469" s="45"/>
      <c r="F469" s="62"/>
      <c r="G469" s="47"/>
      <c r="H469" s="47" t="s">
        <v>1</v>
      </c>
      <c r="I469" s="47"/>
      <c r="J469" s="66"/>
      <c r="K469" s="45"/>
      <c r="L469" s="45" t="s">
        <v>1</v>
      </c>
      <c r="M469" s="45"/>
      <c r="N469" s="67"/>
      <c r="O469" s="45"/>
      <c r="P469" s="45"/>
      <c r="Q469" s="61"/>
      <c r="R469" s="45" t="s">
        <v>1</v>
      </c>
      <c r="S469" s="45"/>
      <c r="T469" s="62"/>
      <c r="U469" s="47"/>
      <c r="V469" s="47" t="s">
        <v>1</v>
      </c>
      <c r="W469" s="47"/>
      <c r="X469" s="66"/>
      <c r="Y469" s="45"/>
      <c r="Z469" s="45" t="s">
        <v>1</v>
      </c>
      <c r="AA469" s="45"/>
      <c r="AB469" s="67"/>
      <c r="AC469" s="45"/>
      <c r="AD469" s="45"/>
      <c r="AE469" s="61"/>
      <c r="AF469" s="45" t="s">
        <v>1</v>
      </c>
      <c r="AG469" s="45"/>
      <c r="AH469" s="62"/>
      <c r="AI469" s="47"/>
      <c r="AJ469" s="47" t="s">
        <v>1</v>
      </c>
      <c r="AK469" s="47"/>
      <c r="AL469" s="66"/>
      <c r="AM469" s="82"/>
      <c r="AN469" s="45" t="s">
        <v>1</v>
      </c>
      <c r="AP469" s="67"/>
      <c r="AS469" s="61"/>
      <c r="AT469" s="45" t="s">
        <v>1</v>
      </c>
      <c r="AU469" s="45"/>
      <c r="AV469" s="62"/>
      <c r="AW469" s="47"/>
      <c r="AX469" s="47" t="s">
        <v>1</v>
      </c>
      <c r="AY469" s="47"/>
      <c r="AZ469" s="66"/>
      <c r="BA469" s="82"/>
      <c r="BB469" s="45" t="s">
        <v>1</v>
      </c>
      <c r="BD469" s="67"/>
    </row>
    <row r="470" spans="3:56" ht="12" customHeight="1" x14ac:dyDescent="0.2">
      <c r="C470" s="61"/>
      <c r="D470" s="45" t="s">
        <v>2</v>
      </c>
      <c r="E470" s="45"/>
      <c r="F470" s="62"/>
      <c r="G470" s="45"/>
      <c r="H470" s="45" t="s">
        <v>2</v>
      </c>
      <c r="I470" s="45"/>
      <c r="J470" s="62"/>
      <c r="K470" s="45"/>
      <c r="L470" s="45" t="s">
        <v>2</v>
      </c>
      <c r="M470" s="45"/>
      <c r="N470" s="67"/>
      <c r="O470" s="45"/>
      <c r="P470" s="45"/>
      <c r="Q470" s="61"/>
      <c r="R470" s="45" t="s">
        <v>2</v>
      </c>
      <c r="S470" s="45"/>
      <c r="T470" s="62"/>
      <c r="U470" s="45"/>
      <c r="V470" s="45" t="s">
        <v>2</v>
      </c>
      <c r="W470" s="45"/>
      <c r="X470" s="62"/>
      <c r="Y470" s="45"/>
      <c r="Z470" s="45" t="s">
        <v>2</v>
      </c>
      <c r="AA470" s="45"/>
      <c r="AB470" s="67"/>
      <c r="AC470" s="45"/>
      <c r="AD470" s="45"/>
      <c r="AE470" s="61"/>
      <c r="AF470" s="45" t="s">
        <v>2</v>
      </c>
      <c r="AG470" s="45"/>
      <c r="AH470" s="62"/>
      <c r="AI470" s="45"/>
      <c r="AJ470" s="45" t="s">
        <v>2</v>
      </c>
      <c r="AK470" s="45"/>
      <c r="AL470" s="62"/>
      <c r="AM470" s="82"/>
      <c r="AN470" s="45" t="s">
        <v>2</v>
      </c>
      <c r="AP470" s="67"/>
      <c r="AS470" s="61"/>
      <c r="AT470" s="45" t="s">
        <v>2</v>
      </c>
      <c r="AU470" s="45"/>
      <c r="AV470" s="62"/>
      <c r="AW470" s="45"/>
      <c r="AX470" s="45" t="s">
        <v>2</v>
      </c>
      <c r="AY470" s="45"/>
      <c r="AZ470" s="62"/>
      <c r="BA470" s="82"/>
      <c r="BB470" s="45" t="s">
        <v>2</v>
      </c>
      <c r="BD470" s="67"/>
    </row>
    <row r="471" spans="3:56" ht="12" customHeight="1" thickBot="1" x14ac:dyDescent="0.25">
      <c r="C471" s="61"/>
      <c r="D471" s="45" t="s">
        <v>3</v>
      </c>
      <c r="E471" s="45"/>
      <c r="F471" s="68"/>
      <c r="G471" s="48"/>
      <c r="H471" s="48" t="s">
        <v>3</v>
      </c>
      <c r="I471" s="48"/>
      <c r="J471" s="69"/>
      <c r="K471" s="45"/>
      <c r="L471" s="45" t="s">
        <v>3</v>
      </c>
      <c r="M471" s="45"/>
      <c r="N471" s="67"/>
      <c r="O471" s="45"/>
      <c r="P471" s="45"/>
      <c r="Q471" s="61"/>
      <c r="R471" s="45" t="s">
        <v>3</v>
      </c>
      <c r="S471" s="45"/>
      <c r="T471" s="68"/>
      <c r="U471" s="48"/>
      <c r="V471" s="48" t="s">
        <v>3</v>
      </c>
      <c r="W471" s="48"/>
      <c r="X471" s="69"/>
      <c r="Y471" s="45"/>
      <c r="Z471" s="45" t="s">
        <v>3</v>
      </c>
      <c r="AA471" s="45"/>
      <c r="AB471" s="67"/>
      <c r="AC471" s="45"/>
      <c r="AD471" s="45"/>
      <c r="AE471" s="61"/>
      <c r="AF471" s="45" t="s">
        <v>3</v>
      </c>
      <c r="AG471" s="45"/>
      <c r="AH471" s="68"/>
      <c r="AI471" s="48"/>
      <c r="AJ471" s="48" t="s">
        <v>3</v>
      </c>
      <c r="AK471" s="48"/>
      <c r="AL471" s="69"/>
      <c r="AM471" s="83"/>
      <c r="AN471" s="45" t="s">
        <v>3</v>
      </c>
      <c r="AP471" s="67"/>
      <c r="AS471" s="61"/>
      <c r="AT471" s="45" t="s">
        <v>3</v>
      </c>
      <c r="AU471" s="45"/>
      <c r="AV471" s="68"/>
      <c r="AW471" s="48"/>
      <c r="AX471" s="48" t="s">
        <v>3</v>
      </c>
      <c r="AY471" s="48"/>
      <c r="AZ471" s="69"/>
      <c r="BA471" s="83"/>
      <c r="BB471" s="45" t="s">
        <v>3</v>
      </c>
      <c r="BD471" s="67"/>
    </row>
    <row r="472" spans="3:56" ht="12" customHeight="1" x14ac:dyDescent="0.2">
      <c r="C472" s="65"/>
      <c r="D472" s="46" t="s">
        <v>0</v>
      </c>
      <c r="E472" s="46"/>
      <c r="F472" s="67"/>
      <c r="G472" s="45"/>
      <c r="H472" s="40" t="s">
        <v>0</v>
      </c>
      <c r="I472" s="45"/>
      <c r="J472" s="62"/>
      <c r="K472" s="46"/>
      <c r="L472" s="46" t="s">
        <v>0</v>
      </c>
      <c r="M472" s="46"/>
      <c r="N472" s="64"/>
      <c r="O472" s="45"/>
      <c r="P472" s="45"/>
      <c r="Q472" s="65"/>
      <c r="R472" s="46" t="s">
        <v>0</v>
      </c>
      <c r="S472" s="46"/>
      <c r="T472" s="67"/>
      <c r="U472" s="45"/>
      <c r="V472" s="40" t="s">
        <v>0</v>
      </c>
      <c r="W472" s="45"/>
      <c r="X472" s="62"/>
      <c r="Y472" s="46"/>
      <c r="Z472" s="46" t="s">
        <v>0</v>
      </c>
      <c r="AA472" s="46"/>
      <c r="AB472" s="64"/>
      <c r="AC472" s="45"/>
      <c r="AD472" s="45"/>
      <c r="AE472" s="65"/>
      <c r="AF472" s="46" t="s">
        <v>0</v>
      </c>
      <c r="AG472" s="46"/>
      <c r="AH472" s="67"/>
      <c r="AI472" s="45"/>
      <c r="AJ472" s="40" t="s">
        <v>0</v>
      </c>
      <c r="AK472" s="45"/>
      <c r="AL472" s="62"/>
      <c r="AM472" s="46"/>
      <c r="AN472" s="46" t="s">
        <v>0</v>
      </c>
      <c r="AP472" s="64"/>
      <c r="AS472" s="65"/>
      <c r="AT472" s="46" t="s">
        <v>0</v>
      </c>
      <c r="AU472" s="46"/>
      <c r="AV472" s="67"/>
      <c r="AW472" s="45"/>
      <c r="AX472" s="40" t="s">
        <v>0</v>
      </c>
      <c r="AY472" s="45"/>
      <c r="AZ472" s="62"/>
      <c r="BA472" s="46"/>
      <c r="BB472" s="46" t="s">
        <v>0</v>
      </c>
      <c r="BD472" s="64"/>
    </row>
    <row r="473" spans="3:56" ht="12" customHeight="1" x14ac:dyDescent="0.2">
      <c r="C473" s="61"/>
      <c r="D473" s="45" t="s">
        <v>1</v>
      </c>
      <c r="E473" s="45"/>
      <c r="F473" s="67"/>
      <c r="G473" s="45"/>
      <c r="H473" s="38" t="s">
        <v>1</v>
      </c>
      <c r="I473" s="45"/>
      <c r="J473" s="67"/>
      <c r="K473" s="45"/>
      <c r="L473" s="45" t="s">
        <v>1</v>
      </c>
      <c r="M473" s="45"/>
      <c r="N473" s="67"/>
      <c r="O473" s="45"/>
      <c r="P473" s="45"/>
      <c r="Q473" s="61"/>
      <c r="R473" s="45" t="s">
        <v>1</v>
      </c>
      <c r="S473" s="45"/>
      <c r="T473" s="67"/>
      <c r="U473" s="45"/>
      <c r="V473" s="38" t="s">
        <v>1</v>
      </c>
      <c r="W473" s="45"/>
      <c r="X473" s="67"/>
      <c r="Y473" s="45"/>
      <c r="Z473" s="45" t="s">
        <v>1</v>
      </c>
      <c r="AA473" s="45"/>
      <c r="AB473" s="67"/>
      <c r="AC473" s="45"/>
      <c r="AD473" s="45"/>
      <c r="AE473" s="61"/>
      <c r="AF473" s="45" t="s">
        <v>1</v>
      </c>
      <c r="AG473" s="45"/>
      <c r="AH473" s="67"/>
      <c r="AI473" s="45"/>
      <c r="AJ473" s="38" t="s">
        <v>1</v>
      </c>
      <c r="AK473" s="45"/>
      <c r="AL473" s="67"/>
      <c r="AM473" s="45"/>
      <c r="AN473" s="45" t="s">
        <v>1</v>
      </c>
      <c r="AP473" s="67"/>
      <c r="AS473" s="61"/>
      <c r="AT473" s="45" t="s">
        <v>1</v>
      </c>
      <c r="AU473" s="45"/>
      <c r="AV473" s="67"/>
      <c r="AW473" s="45"/>
      <c r="AX473" s="38" t="s">
        <v>1</v>
      </c>
      <c r="AY473" s="45"/>
      <c r="AZ473" s="67"/>
      <c r="BA473" s="45"/>
      <c r="BB473" s="45" t="s">
        <v>1</v>
      </c>
      <c r="BD473" s="67"/>
    </row>
    <row r="474" spans="3:56" ht="12" customHeight="1" x14ac:dyDescent="0.2">
      <c r="C474" s="61"/>
      <c r="D474" s="45" t="s">
        <v>2</v>
      </c>
      <c r="E474" s="45"/>
      <c r="F474" s="67"/>
      <c r="G474" s="45"/>
      <c r="H474" s="38" t="s">
        <v>2</v>
      </c>
      <c r="I474" s="45"/>
      <c r="J474" s="67"/>
      <c r="K474" s="45"/>
      <c r="L474" s="45" t="s">
        <v>2</v>
      </c>
      <c r="M474" s="45"/>
      <c r="N474" s="67"/>
      <c r="O474" s="45"/>
      <c r="P474" s="45"/>
      <c r="Q474" s="61"/>
      <c r="R474" s="45" t="s">
        <v>2</v>
      </c>
      <c r="S474" s="45"/>
      <c r="T474" s="67"/>
      <c r="U474" s="45"/>
      <c r="V474" s="38" t="s">
        <v>2</v>
      </c>
      <c r="W474" s="45"/>
      <c r="X474" s="67"/>
      <c r="Y474" s="45"/>
      <c r="Z474" s="45" t="s">
        <v>2</v>
      </c>
      <c r="AA474" s="45"/>
      <c r="AB474" s="67"/>
      <c r="AC474" s="45"/>
      <c r="AD474" s="45"/>
      <c r="AE474" s="61"/>
      <c r="AF474" s="45" t="s">
        <v>2</v>
      </c>
      <c r="AG474" s="45"/>
      <c r="AH474" s="67"/>
      <c r="AI474" s="45"/>
      <c r="AJ474" s="38" t="s">
        <v>2</v>
      </c>
      <c r="AK474" s="45"/>
      <c r="AL474" s="67"/>
      <c r="AM474" s="45"/>
      <c r="AN474" s="45" t="s">
        <v>2</v>
      </c>
      <c r="AP474" s="67"/>
      <c r="AS474" s="61"/>
      <c r="AT474" s="45" t="s">
        <v>2</v>
      </c>
      <c r="AU474" s="45"/>
      <c r="AV474" s="67"/>
      <c r="AW474" s="45"/>
      <c r="AX474" s="38" t="s">
        <v>2</v>
      </c>
      <c r="AY474" s="45"/>
      <c r="AZ474" s="67"/>
      <c r="BA474" s="45"/>
      <c r="BB474" s="45" t="s">
        <v>2</v>
      </c>
      <c r="BD474" s="67"/>
    </row>
    <row r="475" spans="3:56" ht="12" customHeight="1" x14ac:dyDescent="0.2">
      <c r="C475" s="70"/>
      <c r="D475" s="49" t="s">
        <v>3</v>
      </c>
      <c r="E475" s="49"/>
      <c r="F475" s="71"/>
      <c r="G475" s="49"/>
      <c r="H475" s="39" t="s">
        <v>3</v>
      </c>
      <c r="I475" s="49"/>
      <c r="J475" s="71"/>
      <c r="K475" s="49"/>
      <c r="L475" s="49" t="s">
        <v>3</v>
      </c>
      <c r="M475" s="49"/>
      <c r="N475" s="71"/>
      <c r="O475" s="45"/>
      <c r="P475" s="45"/>
      <c r="Q475" s="70"/>
      <c r="R475" s="49" t="s">
        <v>3</v>
      </c>
      <c r="S475" s="49"/>
      <c r="T475" s="71"/>
      <c r="U475" s="49"/>
      <c r="V475" s="39" t="s">
        <v>3</v>
      </c>
      <c r="W475" s="49"/>
      <c r="X475" s="71"/>
      <c r="Y475" s="49"/>
      <c r="Z475" s="49" t="s">
        <v>3</v>
      </c>
      <c r="AA475" s="49"/>
      <c r="AB475" s="71"/>
      <c r="AC475" s="45"/>
      <c r="AD475" s="45"/>
      <c r="AE475" s="70"/>
      <c r="AF475" s="49" t="s">
        <v>3</v>
      </c>
      <c r="AG475" s="49"/>
      <c r="AH475" s="71"/>
      <c r="AI475" s="49"/>
      <c r="AJ475" s="39" t="s">
        <v>3</v>
      </c>
      <c r="AK475" s="49"/>
      <c r="AL475" s="71"/>
      <c r="AM475" s="49"/>
      <c r="AN475" s="49" t="s">
        <v>3</v>
      </c>
      <c r="AP475" s="71"/>
      <c r="AS475" s="70"/>
      <c r="AT475" s="49" t="s">
        <v>3</v>
      </c>
      <c r="AU475" s="49"/>
      <c r="AV475" s="71"/>
      <c r="AW475" s="49"/>
      <c r="AX475" s="39" t="s">
        <v>3</v>
      </c>
      <c r="AY475" s="49"/>
      <c r="AZ475" s="71"/>
      <c r="BA475" s="49"/>
      <c r="BB475" s="49" t="s">
        <v>3</v>
      </c>
      <c r="BD475" s="71"/>
    </row>
    <row r="476" spans="3:56" ht="12" customHeight="1" x14ac:dyDescent="0.2">
      <c r="C476" s="61"/>
      <c r="D476" s="45" t="s">
        <v>0</v>
      </c>
      <c r="E476" s="67"/>
      <c r="F476" s="45" t="s">
        <v>0</v>
      </c>
      <c r="G476" s="45"/>
      <c r="H476" s="67"/>
      <c r="I476" s="45" t="s">
        <v>0</v>
      </c>
      <c r="J476" s="45"/>
      <c r="K476" s="67"/>
      <c r="L476" s="45" t="s">
        <v>0</v>
      </c>
      <c r="M476" s="45"/>
      <c r="N476" s="67"/>
      <c r="O476" s="45"/>
      <c r="P476" s="45"/>
      <c r="Q476" s="61"/>
      <c r="R476" s="45" t="s">
        <v>0</v>
      </c>
      <c r="S476" s="67"/>
      <c r="T476" s="45" t="s">
        <v>0</v>
      </c>
      <c r="U476" s="45"/>
      <c r="V476" s="67"/>
      <c r="W476" s="45" t="s">
        <v>0</v>
      </c>
      <c r="X476" s="45"/>
      <c r="Y476" s="67"/>
      <c r="Z476" s="45" t="s">
        <v>0</v>
      </c>
      <c r="AA476" s="45"/>
      <c r="AB476" s="67"/>
      <c r="AC476" s="45"/>
      <c r="AD476" s="45"/>
      <c r="AE476" s="61"/>
      <c r="AF476" s="45" t="s">
        <v>0</v>
      </c>
      <c r="AG476" s="67"/>
      <c r="AH476" s="45" t="s">
        <v>0</v>
      </c>
      <c r="AI476" s="45"/>
      <c r="AJ476" s="67"/>
      <c r="AK476" s="45" t="s">
        <v>0</v>
      </c>
      <c r="AL476" s="45"/>
      <c r="AM476" s="67"/>
      <c r="AN476" s="45" t="s">
        <v>0</v>
      </c>
      <c r="AP476" s="67"/>
      <c r="AS476" s="61"/>
      <c r="AT476" s="45" t="s">
        <v>0</v>
      </c>
      <c r="AU476" s="67"/>
      <c r="AV476" s="45" t="s">
        <v>0</v>
      </c>
      <c r="AW476" s="45"/>
      <c r="AX476" s="67"/>
      <c r="AY476" s="45" t="s">
        <v>0</v>
      </c>
      <c r="AZ476" s="45"/>
      <c r="BA476" s="67"/>
      <c r="BB476" s="45" t="s">
        <v>0</v>
      </c>
      <c r="BD476" s="67"/>
    </row>
    <row r="477" spans="3:56" ht="12" customHeight="1" x14ac:dyDescent="0.2">
      <c r="C477" s="61"/>
      <c r="D477" s="45" t="s">
        <v>1</v>
      </c>
      <c r="E477" s="67"/>
      <c r="F477" s="45" t="s">
        <v>1</v>
      </c>
      <c r="G477" s="45"/>
      <c r="H477" s="67"/>
      <c r="I477" s="45" t="s">
        <v>1</v>
      </c>
      <c r="J477" s="45"/>
      <c r="K477" s="67"/>
      <c r="L477" s="45" t="s">
        <v>1</v>
      </c>
      <c r="M477" s="45"/>
      <c r="N477" s="67"/>
      <c r="O477" s="45"/>
      <c r="P477" s="45"/>
      <c r="Q477" s="61"/>
      <c r="R477" s="45" t="s">
        <v>1</v>
      </c>
      <c r="S477" s="67"/>
      <c r="T477" s="45" t="s">
        <v>1</v>
      </c>
      <c r="U477" s="45"/>
      <c r="V477" s="67"/>
      <c r="W477" s="45" t="s">
        <v>1</v>
      </c>
      <c r="X477" s="45"/>
      <c r="Y477" s="67"/>
      <c r="Z477" s="45" t="s">
        <v>1</v>
      </c>
      <c r="AA477" s="45"/>
      <c r="AB477" s="67"/>
      <c r="AC477" s="45"/>
      <c r="AD477" s="45"/>
      <c r="AE477" s="61"/>
      <c r="AF477" s="45" t="s">
        <v>1</v>
      </c>
      <c r="AG477" s="67"/>
      <c r="AH477" s="45" t="s">
        <v>1</v>
      </c>
      <c r="AI477" s="45"/>
      <c r="AJ477" s="67"/>
      <c r="AK477" s="45" t="s">
        <v>1</v>
      </c>
      <c r="AL477" s="45"/>
      <c r="AM477" s="67"/>
      <c r="AN477" s="45" t="s">
        <v>1</v>
      </c>
      <c r="AP477" s="67"/>
      <c r="AS477" s="61"/>
      <c r="AT477" s="45" t="s">
        <v>1</v>
      </c>
      <c r="AU477" s="67"/>
      <c r="AV477" s="45" t="s">
        <v>1</v>
      </c>
      <c r="AW477" s="45"/>
      <c r="AX477" s="67"/>
      <c r="AY477" s="45" t="s">
        <v>1</v>
      </c>
      <c r="AZ477" s="45"/>
      <c r="BA477" s="67"/>
      <c r="BB477" s="45" t="s">
        <v>1</v>
      </c>
      <c r="BD477" s="67"/>
    </row>
    <row r="478" spans="3:56" ht="12" customHeight="1" x14ac:dyDescent="0.2">
      <c r="C478" s="61"/>
      <c r="D478" s="45" t="s">
        <v>2</v>
      </c>
      <c r="E478" s="67"/>
      <c r="F478" s="45" t="s">
        <v>2</v>
      </c>
      <c r="G478" s="45"/>
      <c r="H478" s="67"/>
      <c r="I478" s="45" t="s">
        <v>2</v>
      </c>
      <c r="J478" s="45"/>
      <c r="K478" s="67"/>
      <c r="L478" s="45" t="s">
        <v>2</v>
      </c>
      <c r="M478" s="45"/>
      <c r="N478" s="67"/>
      <c r="O478" s="45"/>
      <c r="P478" s="45"/>
      <c r="Q478" s="61"/>
      <c r="R478" s="45" t="s">
        <v>2</v>
      </c>
      <c r="S478" s="67"/>
      <c r="T478" s="45" t="s">
        <v>2</v>
      </c>
      <c r="U478" s="45"/>
      <c r="V478" s="67"/>
      <c r="W478" s="45" t="s">
        <v>2</v>
      </c>
      <c r="X478" s="45"/>
      <c r="Y478" s="67"/>
      <c r="Z478" s="45" t="s">
        <v>2</v>
      </c>
      <c r="AA478" s="45"/>
      <c r="AB478" s="67"/>
      <c r="AC478" s="45"/>
      <c r="AD478" s="45"/>
      <c r="AE478" s="61"/>
      <c r="AF478" s="45" t="s">
        <v>2</v>
      </c>
      <c r="AG478" s="67"/>
      <c r="AH478" s="45" t="s">
        <v>2</v>
      </c>
      <c r="AI478" s="45"/>
      <c r="AJ478" s="67"/>
      <c r="AK478" s="45" t="s">
        <v>2</v>
      </c>
      <c r="AL478" s="45"/>
      <c r="AM478" s="67"/>
      <c r="AN478" s="45" t="s">
        <v>2</v>
      </c>
      <c r="AP478" s="67"/>
      <c r="AS478" s="61"/>
      <c r="AT478" s="45" t="s">
        <v>2</v>
      </c>
      <c r="AU478" s="67"/>
      <c r="AV478" s="45" t="s">
        <v>2</v>
      </c>
      <c r="AW478" s="45"/>
      <c r="AX478" s="67"/>
      <c r="AY478" s="45" t="s">
        <v>2</v>
      </c>
      <c r="AZ478" s="45"/>
      <c r="BA478" s="67"/>
      <c r="BB478" s="45" t="s">
        <v>2</v>
      </c>
      <c r="BD478" s="67"/>
    </row>
    <row r="479" spans="3:56" ht="12" customHeight="1" x14ac:dyDescent="0.2">
      <c r="C479" s="70"/>
      <c r="D479" s="49" t="s">
        <v>3</v>
      </c>
      <c r="E479" s="71"/>
      <c r="F479" s="49" t="s">
        <v>3</v>
      </c>
      <c r="G479" s="49"/>
      <c r="H479" s="71"/>
      <c r="I479" s="49" t="s">
        <v>3</v>
      </c>
      <c r="J479" s="49"/>
      <c r="K479" s="71"/>
      <c r="L479" s="49" t="s">
        <v>3</v>
      </c>
      <c r="M479" s="49"/>
      <c r="N479" s="71"/>
      <c r="O479" s="45"/>
      <c r="P479" s="45"/>
      <c r="Q479" s="70"/>
      <c r="R479" s="49" t="s">
        <v>3</v>
      </c>
      <c r="S479" s="71"/>
      <c r="T479" s="49" t="s">
        <v>3</v>
      </c>
      <c r="U479" s="49"/>
      <c r="V479" s="71"/>
      <c r="W479" s="49" t="s">
        <v>3</v>
      </c>
      <c r="X479" s="49"/>
      <c r="Y479" s="71"/>
      <c r="Z479" s="49" t="s">
        <v>3</v>
      </c>
      <c r="AA479" s="49"/>
      <c r="AB479" s="71"/>
      <c r="AC479" s="45"/>
      <c r="AD479" s="45"/>
      <c r="AE479" s="70"/>
      <c r="AF479" s="49" t="s">
        <v>3</v>
      </c>
      <c r="AG479" s="71"/>
      <c r="AH479" s="49" t="s">
        <v>3</v>
      </c>
      <c r="AI479" s="49"/>
      <c r="AJ479" s="71"/>
      <c r="AK479" s="49" t="s">
        <v>3</v>
      </c>
      <c r="AL479" s="49"/>
      <c r="AM479" s="71"/>
      <c r="AN479" s="49" t="s">
        <v>3</v>
      </c>
      <c r="AP479" s="71"/>
      <c r="AS479" s="70"/>
      <c r="AT479" s="49" t="s">
        <v>3</v>
      </c>
      <c r="AU479" s="71"/>
      <c r="AV479" s="49" t="s">
        <v>3</v>
      </c>
      <c r="AW479" s="49"/>
      <c r="AX479" s="71"/>
      <c r="AY479" s="49" t="s">
        <v>3</v>
      </c>
      <c r="AZ479" s="49"/>
      <c r="BA479" s="71"/>
      <c r="BB479" s="49" t="s">
        <v>3</v>
      </c>
      <c r="BD479" s="71"/>
    </row>
  </sheetData>
  <mergeCells count="32">
    <mergeCell ref="C466:G467"/>
    <mergeCell ref="C271:G272"/>
    <mergeCell ref="C286:G287"/>
    <mergeCell ref="C301:G302"/>
    <mergeCell ref="C316:G317"/>
    <mergeCell ref="C421:G422"/>
    <mergeCell ref="C346:G347"/>
    <mergeCell ref="C361:G362"/>
    <mergeCell ref="C376:G377"/>
    <mergeCell ref="C391:G392"/>
    <mergeCell ref="C406:G407"/>
    <mergeCell ref="C451:G452"/>
    <mergeCell ref="C436:G437"/>
    <mergeCell ref="C331:G332"/>
    <mergeCell ref="C196:G197"/>
    <mergeCell ref="C211:G212"/>
    <mergeCell ref="C226:G227"/>
    <mergeCell ref="C241:G242"/>
    <mergeCell ref="C256:G257"/>
    <mergeCell ref="C166:G167"/>
    <mergeCell ref="C181:G182"/>
    <mergeCell ref="C151:G152"/>
    <mergeCell ref="C1:G2"/>
    <mergeCell ref="C16:G17"/>
    <mergeCell ref="C31:G32"/>
    <mergeCell ref="C46:G47"/>
    <mergeCell ref="C61:G62"/>
    <mergeCell ref="C76:G77"/>
    <mergeCell ref="C91:G92"/>
    <mergeCell ref="C106:G107"/>
    <mergeCell ref="C121:G122"/>
    <mergeCell ref="C136:G13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E14C2-E862-3946-868E-3084D5ECFEBC}">
  <sheetPr codeName="Blad8"/>
  <dimension ref="A1:AJ61"/>
  <sheetViews>
    <sheetView zoomScale="30" zoomScaleNormal="30" workbookViewId="0">
      <selection activeCell="BQ99" sqref="BQ99"/>
    </sheetView>
  </sheetViews>
  <sheetFormatPr baseColWidth="10" defaultColWidth="4.1640625" defaultRowHeight="16" x14ac:dyDescent="0.2"/>
  <cols>
    <col min="2" max="2" width="4.1640625" customWidth="1"/>
  </cols>
  <sheetData>
    <row r="1" spans="1:36" x14ac:dyDescent="0.2">
      <c r="A1" s="1"/>
      <c r="B1" s="2"/>
      <c r="C1" s="122" t="s">
        <v>32</v>
      </c>
      <c r="D1" s="122"/>
      <c r="E1" s="2"/>
      <c r="F1" s="2"/>
      <c r="G1" s="122" t="s">
        <v>30</v>
      </c>
      <c r="H1" s="122"/>
      <c r="I1" s="122"/>
      <c r="J1" s="122"/>
      <c r="K1" s="2"/>
      <c r="L1" s="2"/>
      <c r="M1" s="2"/>
      <c r="N1" s="2"/>
      <c r="O1" s="2"/>
      <c r="P1" s="3"/>
      <c r="U1" s="1"/>
      <c r="V1" s="2"/>
      <c r="W1" s="2" t="s">
        <v>33</v>
      </c>
      <c r="X1" s="2"/>
      <c r="Y1" s="2"/>
      <c r="Z1" s="2"/>
      <c r="AA1" s="122" t="s">
        <v>30</v>
      </c>
      <c r="AB1" s="122"/>
      <c r="AC1" s="122"/>
      <c r="AD1" s="122"/>
      <c r="AE1" s="2"/>
      <c r="AF1" s="2"/>
      <c r="AG1" s="2"/>
      <c r="AH1" s="2"/>
      <c r="AI1" s="2"/>
      <c r="AJ1" s="3"/>
    </row>
    <row r="2" spans="1:36" x14ac:dyDescent="0.2">
      <c r="A2" s="4"/>
      <c r="P2" s="5"/>
      <c r="U2" s="4"/>
      <c r="AJ2" s="5"/>
    </row>
    <row r="3" spans="1:36" ht="17" thickBot="1" x14ac:dyDescent="0.25">
      <c r="A3" s="19"/>
      <c r="B3" s="20"/>
      <c r="C3" s="20"/>
      <c r="D3" s="20"/>
      <c r="E3" s="20"/>
      <c r="F3" s="20"/>
      <c r="G3" s="20"/>
      <c r="H3" s="21"/>
      <c r="I3" s="22"/>
      <c r="J3" s="20"/>
      <c r="K3" s="20"/>
      <c r="L3" s="20"/>
      <c r="M3" s="20"/>
      <c r="N3" s="20"/>
      <c r="O3" s="20"/>
      <c r="P3" s="23"/>
      <c r="U3" s="19"/>
      <c r="V3" s="20"/>
      <c r="W3" s="20"/>
      <c r="X3" s="20"/>
      <c r="Y3" s="20"/>
      <c r="Z3" s="20"/>
      <c r="AA3" s="20"/>
      <c r="AB3" s="21"/>
      <c r="AC3" s="22"/>
      <c r="AD3" s="20"/>
      <c r="AE3" s="20"/>
      <c r="AF3" s="20"/>
      <c r="AG3" s="20"/>
      <c r="AH3" s="20"/>
      <c r="AI3" s="20"/>
      <c r="AJ3" s="23"/>
    </row>
    <row r="4" spans="1:36" x14ac:dyDescent="0.2">
      <c r="B4" s="136" cm="1">
        <f t="array" ref="B4">SUM(Sammanställning!B4:B6/Sammanställning!E20)</f>
        <v>0.1111111111111111</v>
      </c>
      <c r="C4" s="136"/>
      <c r="D4" s="136"/>
      <c r="G4" s="136" cm="1">
        <f t="array" ref="G4">SUM(Sammanställning!I4:I6/Sammanställning!E20)</f>
        <v>2.4691358024691357E-2</v>
      </c>
      <c r="H4" s="136"/>
      <c r="I4" s="136"/>
      <c r="J4" s="136"/>
      <c r="L4" s="136" cm="1">
        <f t="array" ref="L4">SUM(Sammanställning!O4:O6/Sammanställning!E20)</f>
        <v>3.7037037037037035E-2</v>
      </c>
      <c r="M4" s="136"/>
      <c r="N4" s="136"/>
      <c r="O4" s="136"/>
      <c r="P4" s="5"/>
      <c r="U4" s="4"/>
      <c r="V4" s="136" cm="1">
        <f t="array" ref="V4">SUM(Sammanställning!V4:V6/Sammanställning!Y20)</f>
        <v>8.1081081081081086E-2</v>
      </c>
      <c r="W4" s="136"/>
      <c r="X4" s="136"/>
      <c r="AA4" s="136" cm="1">
        <f t="array" ref="AA4">SUM(Sammanställning!AC4:AC6/Sammanställning!Y20)</f>
        <v>0.10810810810810811</v>
      </c>
      <c r="AB4" s="136"/>
      <c r="AC4" s="136"/>
      <c r="AD4" s="136"/>
      <c r="AF4" s="136" cm="1">
        <f t="array" ref="AF4">SUM(Sammanställning!AI4:AI6/Sammanställning!Y20)</f>
        <v>5.4054054054054057E-2</v>
      </c>
      <c r="AG4" s="136"/>
      <c r="AH4" s="136"/>
      <c r="AI4" s="136"/>
      <c r="AJ4" s="5"/>
    </row>
    <row r="5" spans="1:36" x14ac:dyDescent="0.2">
      <c r="B5" s="136"/>
      <c r="C5" s="136"/>
      <c r="D5" s="136"/>
      <c r="G5" s="136"/>
      <c r="H5" s="136"/>
      <c r="I5" s="136"/>
      <c r="J5" s="136"/>
      <c r="L5" s="136"/>
      <c r="M5" s="136"/>
      <c r="N5" s="136"/>
      <c r="O5" s="136"/>
      <c r="P5" s="5"/>
      <c r="U5" s="4"/>
      <c r="V5" s="136"/>
      <c r="W5" s="136"/>
      <c r="X5" s="136"/>
      <c r="AA5" s="136"/>
      <c r="AB5" s="136"/>
      <c r="AC5" s="136"/>
      <c r="AD5" s="136"/>
      <c r="AF5" s="136"/>
      <c r="AG5" s="136"/>
      <c r="AH5" s="136"/>
      <c r="AI5" s="136"/>
      <c r="AJ5" s="5"/>
    </row>
    <row r="6" spans="1:36" x14ac:dyDescent="0.2">
      <c r="B6" s="136"/>
      <c r="C6" s="136"/>
      <c r="D6" s="136"/>
      <c r="G6" s="136"/>
      <c r="H6" s="136"/>
      <c r="I6" s="136"/>
      <c r="J6" s="136"/>
      <c r="L6" s="136"/>
      <c r="M6" s="136"/>
      <c r="N6" s="136"/>
      <c r="O6" s="136"/>
      <c r="P6" s="5"/>
      <c r="U6" s="4"/>
      <c r="V6" s="136"/>
      <c r="W6" s="136"/>
      <c r="X6" s="136"/>
      <c r="AA6" s="136"/>
      <c r="AB6" s="136"/>
      <c r="AC6" s="136"/>
      <c r="AD6" s="136"/>
      <c r="AF6" s="136"/>
      <c r="AG6" s="136"/>
      <c r="AH6" s="136"/>
      <c r="AI6" s="136"/>
      <c r="AJ6" s="5"/>
    </row>
    <row r="7" spans="1:36" x14ac:dyDescent="0.2">
      <c r="A7" s="17"/>
      <c r="H7" s="17"/>
      <c r="N7" s="17"/>
      <c r="P7" s="5"/>
      <c r="U7" s="26"/>
      <c r="AB7" s="17"/>
      <c r="AH7" s="17"/>
      <c r="AJ7" s="5"/>
    </row>
    <row r="8" spans="1:36" x14ac:dyDescent="0.2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3"/>
      <c r="U8" s="19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3"/>
    </row>
    <row r="9" spans="1:36" x14ac:dyDescent="0.2">
      <c r="A9" s="136" cm="1">
        <f t="array" ref="A9">SUM(Sammanställning!B9:B11/Sammanställning!E20)</f>
        <v>0.13580246913580246</v>
      </c>
      <c r="B9" s="136"/>
      <c r="C9" s="136"/>
      <c r="D9" s="136"/>
      <c r="F9" s="136" cm="1">
        <f t="array" ref="F9">SUM(Sammanställning!G9:G11/Sammanställning!E20)</f>
        <v>0.2839506172839506</v>
      </c>
      <c r="G9" s="136"/>
      <c r="H9" s="136"/>
      <c r="I9" s="136"/>
      <c r="J9" s="136"/>
      <c r="K9" s="136"/>
      <c r="M9" s="136" cm="1">
        <f t="array" ref="M9">SUM(Sammanställning!O9:O11/Sammanställning!E20)</f>
        <v>0.25925925925925924</v>
      </c>
      <c r="N9" s="136"/>
      <c r="O9" s="136"/>
      <c r="P9" s="137"/>
      <c r="U9" s="139" cm="1">
        <f t="array" ref="U9">SUM(Sammanställning!V9:V11/Sammanställning!Y20)</f>
        <v>0.13513513513513514</v>
      </c>
      <c r="V9" s="136"/>
      <c r="W9" s="136"/>
      <c r="X9" s="136"/>
      <c r="Z9" s="136" cm="1">
        <f t="array" ref="Z9">SUM(Sammanställning!AA9:AA11/Sammanställning!Y20)</f>
        <v>0.24324324324324326</v>
      </c>
      <c r="AA9" s="136"/>
      <c r="AB9" s="136"/>
      <c r="AC9" s="136"/>
      <c r="AD9" s="136"/>
      <c r="AE9" s="136"/>
      <c r="AG9" s="136" cm="1">
        <f t="array" ref="AG9">SUM(Sammanställning!AI9:AI11/Sammanställning!Y20)</f>
        <v>0.13513513513513514</v>
      </c>
      <c r="AH9" s="136"/>
      <c r="AI9" s="136"/>
      <c r="AJ9" s="137"/>
    </row>
    <row r="10" spans="1:36" x14ac:dyDescent="0.2">
      <c r="A10" s="136"/>
      <c r="B10" s="136"/>
      <c r="C10" s="136"/>
      <c r="D10" s="136"/>
      <c r="F10" s="136"/>
      <c r="G10" s="136"/>
      <c r="H10" s="136"/>
      <c r="I10" s="136"/>
      <c r="J10" s="136"/>
      <c r="K10" s="136"/>
      <c r="M10" s="136"/>
      <c r="N10" s="136"/>
      <c r="O10" s="136"/>
      <c r="P10" s="137"/>
      <c r="U10" s="139"/>
      <c r="V10" s="136"/>
      <c r="W10" s="136"/>
      <c r="X10" s="136"/>
      <c r="Z10" s="136"/>
      <c r="AA10" s="136"/>
      <c r="AB10" s="136"/>
      <c r="AC10" s="136"/>
      <c r="AD10" s="136"/>
      <c r="AE10" s="136"/>
      <c r="AG10" s="136"/>
      <c r="AH10" s="136"/>
      <c r="AI10" s="136"/>
      <c r="AJ10" s="137"/>
    </row>
    <row r="11" spans="1:36" x14ac:dyDescent="0.2">
      <c r="A11" s="136"/>
      <c r="B11" s="136"/>
      <c r="C11" s="136"/>
      <c r="D11" s="136"/>
      <c r="F11" s="136"/>
      <c r="G11" s="136"/>
      <c r="H11" s="136"/>
      <c r="I11" s="136"/>
      <c r="J11" s="136"/>
      <c r="K11" s="136"/>
      <c r="M11" s="136"/>
      <c r="N11" s="136"/>
      <c r="O11" s="136"/>
      <c r="P11" s="137"/>
      <c r="U11" s="139"/>
      <c r="V11" s="136"/>
      <c r="W11" s="136"/>
      <c r="X11" s="136"/>
      <c r="Z11" s="136"/>
      <c r="AA11" s="136"/>
      <c r="AB11" s="136"/>
      <c r="AC11" s="136"/>
      <c r="AD11" s="136"/>
      <c r="AE11" s="136"/>
      <c r="AG11" s="136"/>
      <c r="AH11" s="136"/>
      <c r="AI11" s="136"/>
      <c r="AJ11" s="137"/>
    </row>
    <row r="12" spans="1:36" x14ac:dyDescent="0.2">
      <c r="A12" s="17"/>
      <c r="F12" s="17"/>
      <c r="N12" s="17"/>
      <c r="P12" s="5"/>
      <c r="U12" s="26"/>
      <c r="Z12" s="17"/>
      <c r="AH12" s="17"/>
      <c r="AJ12" s="5"/>
    </row>
    <row r="13" spans="1:36" x14ac:dyDescent="0.2">
      <c r="B13" s="20"/>
      <c r="C13" s="10"/>
      <c r="D13" s="20"/>
      <c r="E13" s="20"/>
      <c r="F13" s="20"/>
      <c r="G13" s="20"/>
      <c r="H13" s="10"/>
      <c r="I13" s="20"/>
      <c r="J13" s="20"/>
      <c r="K13" s="20"/>
      <c r="L13" s="20"/>
      <c r="M13" s="10"/>
      <c r="N13" s="20"/>
      <c r="O13" s="20"/>
      <c r="P13" s="23"/>
      <c r="U13" s="4"/>
      <c r="V13" s="20"/>
      <c r="W13" s="10"/>
      <c r="X13" s="20"/>
      <c r="Y13" s="20"/>
      <c r="Z13" s="20"/>
      <c r="AA13" s="20"/>
      <c r="AB13" s="10"/>
      <c r="AC13" s="20"/>
      <c r="AD13" s="20"/>
      <c r="AE13" s="20"/>
      <c r="AF13" s="20"/>
      <c r="AG13" s="10"/>
      <c r="AH13" s="20"/>
      <c r="AI13" s="20"/>
      <c r="AJ13" s="23"/>
    </row>
    <row r="14" spans="1:36" x14ac:dyDescent="0.2">
      <c r="A14" s="136" cm="1">
        <f t="array" ref="A14">SUM(Sammanställning!B14:B16/Sammanställning!E20)</f>
        <v>1.2345679012345678E-2</v>
      </c>
      <c r="B14" s="136"/>
      <c r="C14" s="140"/>
      <c r="E14" s="136" cm="1">
        <f t="array" ref="E14">SUM(Sammanställning!F14:F16/Sammanställning!E20)</f>
        <v>4.9382716049382713E-2</v>
      </c>
      <c r="F14" s="136"/>
      <c r="G14" s="136"/>
      <c r="H14" s="14"/>
      <c r="J14" s="136" cm="1">
        <f t="array" ref="J14">SUM(Sammanställning!K14:K16/Sammanställning!E20)</f>
        <v>7.407407407407407E-2</v>
      </c>
      <c r="K14" s="136"/>
      <c r="L14" s="136"/>
      <c r="N14" s="138" cm="1">
        <f t="array" ref="N14">SUM(Sammanställning!O14:O16/Sammanställning!E20)</f>
        <v>1.2345679012345678E-2</v>
      </c>
      <c r="O14" s="136"/>
      <c r="P14" s="137"/>
      <c r="U14" s="139" cm="1">
        <f t="array" ref="U14">SUM(Sammanställning!V14:V16/Sammanställning!Y20)</f>
        <v>0.10810810810810811</v>
      </c>
      <c r="V14" s="136"/>
      <c r="W14" s="140"/>
      <c r="Y14" s="136" cm="1">
        <f t="array" ref="Y14">SUM(Sammanställning!Z14:Z16/Sammanställning!Y20)</f>
        <v>2.7027027027027029E-2</v>
      </c>
      <c r="Z14" s="136"/>
      <c r="AA14" s="136"/>
      <c r="AB14" s="14"/>
      <c r="AD14" s="136" cm="1">
        <f t="array" ref="AD14">SUM(Sammanställning!AE14:AE16/Sammanställning!Y20)</f>
        <v>0.10810810810810811</v>
      </c>
      <c r="AE14" s="136"/>
      <c r="AF14" s="136"/>
      <c r="AH14" s="138" cm="1">
        <f t="array" ref="AH14">SUM(Sammanställning!AI14:AI16/Sammanställning!Y20)</f>
        <v>0</v>
      </c>
      <c r="AI14" s="136"/>
      <c r="AJ14" s="137"/>
    </row>
    <row r="15" spans="1:36" x14ac:dyDescent="0.2">
      <c r="A15" s="136"/>
      <c r="B15" s="136"/>
      <c r="C15" s="140"/>
      <c r="E15" s="136"/>
      <c r="F15" s="136"/>
      <c r="G15" s="136"/>
      <c r="H15" s="14"/>
      <c r="J15" s="136"/>
      <c r="K15" s="136"/>
      <c r="L15" s="136"/>
      <c r="N15" s="138"/>
      <c r="O15" s="136"/>
      <c r="P15" s="137"/>
      <c r="U15" s="139"/>
      <c r="V15" s="136"/>
      <c r="W15" s="140"/>
      <c r="Y15" s="136"/>
      <c r="Z15" s="136"/>
      <c r="AA15" s="136"/>
      <c r="AB15" s="14"/>
      <c r="AD15" s="136"/>
      <c r="AE15" s="136"/>
      <c r="AF15" s="136"/>
      <c r="AH15" s="138"/>
      <c r="AI15" s="136"/>
      <c r="AJ15" s="137"/>
    </row>
    <row r="16" spans="1:36" x14ac:dyDescent="0.2">
      <c r="A16" s="136"/>
      <c r="B16" s="136"/>
      <c r="C16" s="140"/>
      <c r="E16" s="136"/>
      <c r="F16" s="136"/>
      <c r="G16" s="136"/>
      <c r="H16" s="14"/>
      <c r="J16" s="136"/>
      <c r="K16" s="136"/>
      <c r="L16" s="136"/>
      <c r="N16" s="138"/>
      <c r="O16" s="136"/>
      <c r="P16" s="137"/>
      <c r="U16" s="139"/>
      <c r="V16" s="136"/>
      <c r="W16" s="140"/>
      <c r="Y16" s="136"/>
      <c r="Z16" s="136"/>
      <c r="AA16" s="136"/>
      <c r="AB16" s="14"/>
      <c r="AD16" s="136"/>
      <c r="AE16" s="136"/>
      <c r="AF16" s="136"/>
      <c r="AH16" s="138"/>
      <c r="AI16" s="136"/>
      <c r="AJ16" s="137"/>
    </row>
    <row r="17" spans="1:36" x14ac:dyDescent="0.2">
      <c r="A17" s="136"/>
      <c r="B17" s="136"/>
      <c r="C17" s="140"/>
      <c r="E17" s="136"/>
      <c r="F17" s="136"/>
      <c r="G17" s="136"/>
      <c r="H17" s="14"/>
      <c r="J17" s="136"/>
      <c r="K17" s="136"/>
      <c r="L17" s="136"/>
      <c r="N17" s="138"/>
      <c r="O17" s="136"/>
      <c r="P17" s="137"/>
      <c r="U17" s="139"/>
      <c r="V17" s="136"/>
      <c r="W17" s="140"/>
      <c r="Y17" s="136"/>
      <c r="Z17" s="136"/>
      <c r="AA17" s="136"/>
      <c r="AB17" s="14"/>
      <c r="AD17" s="136"/>
      <c r="AE17" s="136"/>
      <c r="AF17" s="136"/>
      <c r="AH17" s="138"/>
      <c r="AI17" s="136"/>
      <c r="AJ17" s="137"/>
    </row>
    <row r="18" spans="1:36" x14ac:dyDescent="0.2">
      <c r="A18" s="136"/>
      <c r="B18" s="136"/>
      <c r="C18" s="140"/>
      <c r="E18" s="136"/>
      <c r="F18" s="136"/>
      <c r="G18" s="136"/>
      <c r="H18" s="14"/>
      <c r="J18" s="136"/>
      <c r="K18" s="136"/>
      <c r="L18" s="136"/>
      <c r="N18" s="138"/>
      <c r="O18" s="136"/>
      <c r="P18" s="137"/>
      <c r="U18" s="139"/>
      <c r="V18" s="136"/>
      <c r="W18" s="140"/>
      <c r="Y18" s="136"/>
      <c r="Z18" s="136"/>
      <c r="AA18" s="136"/>
      <c r="AB18" s="14"/>
      <c r="AD18" s="136"/>
      <c r="AE18" s="136"/>
      <c r="AF18" s="136"/>
      <c r="AH18" s="138"/>
      <c r="AI18" s="136"/>
      <c r="AJ18" s="137"/>
    </row>
    <row r="19" spans="1:36" ht="17" thickBot="1" x14ac:dyDescent="0.25">
      <c r="A19" s="6"/>
      <c r="B19" s="7"/>
      <c r="C19" s="24"/>
      <c r="D19" s="7"/>
      <c r="E19" s="7"/>
      <c r="F19" s="7"/>
      <c r="G19" s="7"/>
      <c r="H19" s="24"/>
      <c r="I19" s="7"/>
      <c r="J19" s="7"/>
      <c r="K19" s="7"/>
      <c r="L19" s="7"/>
      <c r="M19" s="7"/>
      <c r="N19" s="25"/>
      <c r="O19" s="7"/>
      <c r="P19" s="8"/>
      <c r="U19" s="6"/>
      <c r="V19" s="7"/>
      <c r="W19" s="24"/>
      <c r="X19" s="7"/>
      <c r="Y19" s="7"/>
      <c r="Z19" s="7"/>
      <c r="AA19" s="7"/>
      <c r="AB19" s="24"/>
      <c r="AC19" s="7"/>
      <c r="AD19" s="7"/>
      <c r="AE19" s="7"/>
      <c r="AF19" s="7"/>
      <c r="AG19" s="7"/>
      <c r="AH19" s="25"/>
      <c r="AI19" s="7"/>
      <c r="AJ19" s="8"/>
    </row>
    <row r="21" spans="1:36" ht="17" thickBot="1" x14ac:dyDescent="0.25"/>
    <row r="22" spans="1:36" x14ac:dyDescent="0.2">
      <c r="A22" s="1"/>
      <c r="B22" s="2"/>
      <c r="C22" s="122" t="s">
        <v>32</v>
      </c>
      <c r="D22" s="122"/>
      <c r="E22" s="2"/>
      <c r="F22" s="122" t="s">
        <v>34</v>
      </c>
      <c r="G22" s="122"/>
      <c r="H22" s="122"/>
      <c r="I22" s="122"/>
      <c r="J22" s="122"/>
      <c r="K22" s="122"/>
      <c r="L22" s="2"/>
      <c r="M22" s="2"/>
      <c r="N22" s="2"/>
      <c r="O22" s="2"/>
      <c r="P22" s="3"/>
      <c r="U22" s="1"/>
      <c r="V22" s="2"/>
      <c r="W22" s="122" t="s">
        <v>33</v>
      </c>
      <c r="X22" s="122"/>
      <c r="Y22" s="122" t="s">
        <v>35</v>
      </c>
      <c r="Z22" s="122"/>
      <c r="AA22" s="122"/>
      <c r="AB22" s="122"/>
      <c r="AC22" s="122"/>
      <c r="AD22" s="122"/>
      <c r="AE22" s="122"/>
      <c r="AF22" s="122"/>
      <c r="AG22" s="2"/>
      <c r="AH22" s="2"/>
      <c r="AI22" s="2"/>
      <c r="AJ22" s="3"/>
    </row>
    <row r="23" spans="1:36" x14ac:dyDescent="0.2">
      <c r="A23" s="4"/>
      <c r="P23" s="5"/>
      <c r="U23" s="4"/>
      <c r="AJ23" s="5"/>
    </row>
    <row r="24" spans="1:36" ht="17" thickBot="1" x14ac:dyDescent="0.25">
      <c r="A24" s="19"/>
      <c r="B24" s="20"/>
      <c r="C24" s="20"/>
      <c r="D24" s="20"/>
      <c r="E24" s="20"/>
      <c r="F24" s="20"/>
      <c r="G24" s="20"/>
      <c r="H24" s="21"/>
      <c r="I24" s="22"/>
      <c r="J24" s="20"/>
      <c r="K24" s="20"/>
      <c r="L24" s="20"/>
      <c r="M24" s="20"/>
      <c r="N24" s="20"/>
      <c r="O24" s="20"/>
      <c r="P24" s="23"/>
      <c r="U24" s="19"/>
      <c r="V24" s="20"/>
      <c r="W24" s="20"/>
      <c r="X24" s="20"/>
      <c r="Y24" s="20"/>
      <c r="Z24" s="20"/>
      <c r="AA24" s="20"/>
      <c r="AB24" s="21"/>
      <c r="AC24" s="22"/>
      <c r="AD24" s="20"/>
      <c r="AE24" s="20"/>
      <c r="AF24" s="20"/>
      <c r="AG24" s="20"/>
      <c r="AH24" s="20"/>
      <c r="AI24" s="20"/>
      <c r="AJ24" s="23"/>
    </row>
    <row r="25" spans="1:36" x14ac:dyDescent="0.2">
      <c r="B25" s="136">
        <f>Sammanställning!B4/(Sammanställning!B4+Sammanställning!B5+Sammanställning!B6)</f>
        <v>0.33333333333333331</v>
      </c>
      <c r="C25" s="136"/>
      <c r="D25" s="136"/>
      <c r="G25" s="136">
        <f>Sammanställning!I4/(Sammanställning!I4+Sammanställning!I5+Sammanställning!I6)</f>
        <v>0</v>
      </c>
      <c r="H25" s="136"/>
      <c r="I25" s="136"/>
      <c r="J25" s="136"/>
      <c r="L25" s="136">
        <f>Sammanställning!O4/(Sammanställning!O4+Sammanställning!O5+Sammanställning!O6)</f>
        <v>0</v>
      </c>
      <c r="M25" s="136"/>
      <c r="N25" s="136"/>
      <c r="O25" s="136"/>
      <c r="P25" s="5"/>
      <c r="U25" s="4"/>
      <c r="V25" s="136">
        <f>(Sammanställning!V4-Sammanställning!V7)/Sammanställning!V4</f>
        <v>0.5</v>
      </c>
      <c r="W25" s="136"/>
      <c r="X25" s="136"/>
      <c r="AA25" s="136">
        <f>(Sammanställning!AC4-Sammanställning!AC7)/Sammanställning!AC4</f>
        <v>1</v>
      </c>
      <c r="AB25" s="136"/>
      <c r="AC25" s="136"/>
      <c r="AD25" s="136"/>
      <c r="AF25" s="136" t="e">
        <f>(Sammanställning!AI4-Sammanställning!AI7)/Sammanställning!AI4</f>
        <v>#DIV/0!</v>
      </c>
      <c r="AG25" s="136"/>
      <c r="AH25" s="136"/>
      <c r="AI25" s="136"/>
      <c r="AJ25" s="5"/>
    </row>
    <row r="26" spans="1:36" x14ac:dyDescent="0.2">
      <c r="B26" s="136"/>
      <c r="C26" s="136"/>
      <c r="D26" s="136"/>
      <c r="G26" s="136"/>
      <c r="H26" s="136"/>
      <c r="I26" s="136"/>
      <c r="J26" s="136"/>
      <c r="L26" s="136"/>
      <c r="M26" s="136"/>
      <c r="N26" s="136"/>
      <c r="O26" s="136"/>
      <c r="P26" s="5"/>
      <c r="U26" s="4"/>
      <c r="V26" s="136"/>
      <c r="W26" s="136"/>
      <c r="X26" s="136"/>
      <c r="AA26" s="136"/>
      <c r="AB26" s="136"/>
      <c r="AC26" s="136"/>
      <c r="AD26" s="136"/>
      <c r="AF26" s="136"/>
      <c r="AG26" s="136"/>
      <c r="AH26" s="136"/>
      <c r="AI26" s="136"/>
      <c r="AJ26" s="5"/>
    </row>
    <row r="27" spans="1:36" x14ac:dyDescent="0.2">
      <c r="B27" s="136"/>
      <c r="C27" s="136"/>
      <c r="D27" s="136"/>
      <c r="G27" s="136"/>
      <c r="H27" s="136"/>
      <c r="I27" s="136"/>
      <c r="J27" s="136"/>
      <c r="L27" s="136"/>
      <c r="M27" s="136"/>
      <c r="N27" s="136"/>
      <c r="O27" s="136"/>
      <c r="P27" s="5"/>
      <c r="U27" s="4"/>
      <c r="V27" s="136"/>
      <c r="W27" s="136"/>
      <c r="X27" s="136"/>
      <c r="AA27" s="136"/>
      <c r="AB27" s="136"/>
      <c r="AC27" s="136"/>
      <c r="AD27" s="136"/>
      <c r="AF27" s="136"/>
      <c r="AG27" s="136"/>
      <c r="AH27" s="136"/>
      <c r="AI27" s="136"/>
      <c r="AJ27" s="5"/>
    </row>
    <row r="28" spans="1:36" x14ac:dyDescent="0.2">
      <c r="A28" s="17"/>
      <c r="H28" s="17"/>
      <c r="N28" s="17"/>
      <c r="P28" s="5"/>
      <c r="U28" s="26"/>
      <c r="AB28" s="17"/>
      <c r="AH28" s="17"/>
      <c r="AJ28" s="5"/>
    </row>
    <row r="29" spans="1:36" x14ac:dyDescent="0.2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3"/>
      <c r="U29" s="19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3"/>
    </row>
    <row r="30" spans="1:36" x14ac:dyDescent="0.2">
      <c r="A30" s="136">
        <f>Sammanställning!B9/(Sammanställning!B9+Sammanställning!B10+Sammanställning!B11)</f>
        <v>0.54545454545454541</v>
      </c>
      <c r="B30" s="136"/>
      <c r="C30" s="136"/>
      <c r="D30" s="136"/>
      <c r="F30" s="136">
        <f>Sammanställning!G9/(Sammanställning!G9+Sammanställning!G10+Sammanställning!G11)</f>
        <v>0.34782608695652173</v>
      </c>
      <c r="G30" s="136"/>
      <c r="H30" s="136"/>
      <c r="I30" s="136"/>
      <c r="J30" s="136"/>
      <c r="K30" s="136"/>
      <c r="M30" s="136">
        <f>Sammanställning!O9/(Sammanställning!O9+Sammanställning!O10+Sammanställning!O11)</f>
        <v>0.2857142857142857</v>
      </c>
      <c r="N30" s="136"/>
      <c r="O30" s="136"/>
      <c r="P30" s="137"/>
      <c r="U30" s="139">
        <f>(Sammanställning!V9-Sammanställning!V12)/Sammanställning!V9</f>
        <v>1</v>
      </c>
      <c r="V30" s="136"/>
      <c r="W30" s="136"/>
      <c r="X30" s="136"/>
      <c r="Z30" s="136">
        <f>(Sammanställning!AA9-Sammanställning!AA12)/Sammanställning!AA9</f>
        <v>0</v>
      </c>
      <c r="AA30" s="136"/>
      <c r="AB30" s="136"/>
      <c r="AC30" s="136"/>
      <c r="AD30" s="136"/>
      <c r="AE30" s="136"/>
      <c r="AG30" s="136">
        <f>(Sammanställning!AI9-Sammanställning!AI12)/Sammanställning!AI9</f>
        <v>1</v>
      </c>
      <c r="AH30" s="136"/>
      <c r="AI30" s="136"/>
      <c r="AJ30" s="137"/>
    </row>
    <row r="31" spans="1:36" x14ac:dyDescent="0.2">
      <c r="A31" s="136"/>
      <c r="B31" s="136"/>
      <c r="C31" s="136"/>
      <c r="D31" s="136"/>
      <c r="F31" s="136"/>
      <c r="G31" s="136"/>
      <c r="H31" s="136"/>
      <c r="I31" s="136"/>
      <c r="J31" s="136"/>
      <c r="K31" s="136"/>
      <c r="M31" s="136"/>
      <c r="N31" s="136"/>
      <c r="O31" s="136"/>
      <c r="P31" s="137"/>
      <c r="U31" s="139"/>
      <c r="V31" s="136"/>
      <c r="W31" s="136"/>
      <c r="X31" s="136"/>
      <c r="Z31" s="136"/>
      <c r="AA31" s="136"/>
      <c r="AB31" s="136"/>
      <c r="AC31" s="136"/>
      <c r="AD31" s="136"/>
      <c r="AE31" s="136"/>
      <c r="AG31" s="136"/>
      <c r="AH31" s="136"/>
      <c r="AI31" s="136"/>
      <c r="AJ31" s="137"/>
    </row>
    <row r="32" spans="1:36" x14ac:dyDescent="0.2">
      <c r="A32" s="136"/>
      <c r="B32" s="136"/>
      <c r="C32" s="136"/>
      <c r="D32" s="136"/>
      <c r="F32" s="136"/>
      <c r="G32" s="136"/>
      <c r="H32" s="136"/>
      <c r="I32" s="136"/>
      <c r="J32" s="136"/>
      <c r="K32" s="136"/>
      <c r="M32" s="136"/>
      <c r="N32" s="136"/>
      <c r="O32" s="136"/>
      <c r="P32" s="137"/>
      <c r="U32" s="139"/>
      <c r="V32" s="136"/>
      <c r="W32" s="136"/>
      <c r="X32" s="136"/>
      <c r="Z32" s="136"/>
      <c r="AA32" s="136"/>
      <c r="AB32" s="136"/>
      <c r="AC32" s="136"/>
      <c r="AD32" s="136"/>
      <c r="AE32" s="136"/>
      <c r="AG32" s="136"/>
      <c r="AH32" s="136"/>
      <c r="AI32" s="136"/>
      <c r="AJ32" s="137"/>
    </row>
    <row r="33" spans="1:36" x14ac:dyDescent="0.2">
      <c r="A33" s="17"/>
      <c r="F33" s="17"/>
      <c r="N33" s="17"/>
      <c r="P33" s="5"/>
      <c r="U33" s="26"/>
      <c r="Z33" s="17"/>
      <c r="AH33" s="17"/>
      <c r="AJ33" s="5"/>
    </row>
    <row r="34" spans="1:36" x14ac:dyDescent="0.2">
      <c r="B34" s="20"/>
      <c r="C34" s="10"/>
      <c r="D34" s="20"/>
      <c r="E34" s="20"/>
      <c r="F34" s="20"/>
      <c r="G34" s="20"/>
      <c r="H34" s="10"/>
      <c r="I34" s="20"/>
      <c r="J34" s="20"/>
      <c r="K34" s="20"/>
      <c r="L34" s="20"/>
      <c r="M34" s="10"/>
      <c r="N34" s="20"/>
      <c r="O34" s="20"/>
      <c r="P34" s="23"/>
      <c r="U34" s="4"/>
      <c r="V34" s="20"/>
      <c r="W34" s="10"/>
      <c r="X34" s="20"/>
      <c r="Y34" s="20"/>
      <c r="Z34" s="20"/>
      <c r="AA34" s="20"/>
      <c r="AB34" s="10"/>
      <c r="AC34" s="20"/>
      <c r="AD34" s="20"/>
      <c r="AE34" s="20"/>
      <c r="AF34" s="20"/>
      <c r="AG34" s="10"/>
      <c r="AH34" s="20"/>
      <c r="AI34" s="20"/>
      <c r="AJ34" s="23"/>
    </row>
    <row r="35" spans="1:36" x14ac:dyDescent="0.2">
      <c r="A35" s="136">
        <f>Sammanställning!B14/(Sammanställning!B14+Sammanställning!B15+Sammanställning!B16)</f>
        <v>0</v>
      </c>
      <c r="B35" s="136"/>
      <c r="C35" s="140"/>
      <c r="E35" s="136">
        <f>Sammanställning!F14/(Sammanställning!F14+Sammanställning!F15+Sammanställning!F16)</f>
        <v>0</v>
      </c>
      <c r="F35" s="136"/>
      <c r="G35" s="136"/>
      <c r="H35" s="14"/>
      <c r="J35" s="136">
        <f>Sammanställning!K14/(Sammanställning!K14+Sammanställning!K15+Sammanställning!K16)</f>
        <v>0.16666666666666666</v>
      </c>
      <c r="K35" s="136"/>
      <c r="L35" s="136"/>
      <c r="N35" s="138">
        <f>Sammanställning!O14/(Sammanställning!O14+Sammanställning!O15+Sammanställning!O16)</f>
        <v>0</v>
      </c>
      <c r="O35" s="136"/>
      <c r="P35" s="137"/>
      <c r="U35" s="139">
        <f>(Sammanställning!V14-Sammanställning!V17)/Sammanställning!V14</f>
        <v>1</v>
      </c>
      <c r="V35" s="136"/>
      <c r="W35" s="140"/>
      <c r="Y35" s="136" t="e">
        <f>(Sammanställning!Z14-Sammanställning!Z17)/Sammanställning!Z14</f>
        <v>#DIV/0!</v>
      </c>
      <c r="Z35" s="136"/>
      <c r="AA35" s="136"/>
      <c r="AB35" s="14"/>
      <c r="AD35" s="136">
        <f>(Sammanställning!AE14-Sammanställning!AE17)/Sammanställning!AE14</f>
        <v>1</v>
      </c>
      <c r="AE35" s="136"/>
      <c r="AF35" s="136"/>
      <c r="AH35" s="138" t="e">
        <f>(Sammanställning!AI14-Sammanställning!AI17)/Sammanställning!AI14</f>
        <v>#DIV/0!</v>
      </c>
      <c r="AI35" s="136"/>
      <c r="AJ35" s="137"/>
    </row>
    <row r="36" spans="1:36" x14ac:dyDescent="0.2">
      <c r="A36" s="136"/>
      <c r="B36" s="136"/>
      <c r="C36" s="140"/>
      <c r="E36" s="136"/>
      <c r="F36" s="136"/>
      <c r="G36" s="136"/>
      <c r="H36" s="14"/>
      <c r="J36" s="136"/>
      <c r="K36" s="136"/>
      <c r="L36" s="136"/>
      <c r="N36" s="138"/>
      <c r="O36" s="136"/>
      <c r="P36" s="137"/>
      <c r="U36" s="139"/>
      <c r="V36" s="136"/>
      <c r="W36" s="140"/>
      <c r="Y36" s="136"/>
      <c r="Z36" s="136"/>
      <c r="AA36" s="136"/>
      <c r="AB36" s="14"/>
      <c r="AD36" s="136"/>
      <c r="AE36" s="136"/>
      <c r="AF36" s="136"/>
      <c r="AH36" s="138"/>
      <c r="AI36" s="136"/>
      <c r="AJ36" s="137"/>
    </row>
    <row r="37" spans="1:36" x14ac:dyDescent="0.2">
      <c r="A37" s="136"/>
      <c r="B37" s="136"/>
      <c r="C37" s="140"/>
      <c r="E37" s="136"/>
      <c r="F37" s="136"/>
      <c r="G37" s="136"/>
      <c r="H37" s="14"/>
      <c r="J37" s="136"/>
      <c r="K37" s="136"/>
      <c r="L37" s="136"/>
      <c r="N37" s="138"/>
      <c r="O37" s="136"/>
      <c r="P37" s="137"/>
      <c r="U37" s="139"/>
      <c r="V37" s="136"/>
      <c r="W37" s="140"/>
      <c r="Y37" s="136"/>
      <c r="Z37" s="136"/>
      <c r="AA37" s="136"/>
      <c r="AB37" s="14"/>
      <c r="AD37" s="136"/>
      <c r="AE37" s="136"/>
      <c r="AF37" s="136"/>
      <c r="AH37" s="138"/>
      <c r="AI37" s="136"/>
      <c r="AJ37" s="137"/>
    </row>
    <row r="38" spans="1:36" x14ac:dyDescent="0.2">
      <c r="A38" s="136"/>
      <c r="B38" s="136"/>
      <c r="C38" s="140"/>
      <c r="E38" s="136"/>
      <c r="F38" s="136"/>
      <c r="G38" s="136"/>
      <c r="H38" s="14"/>
      <c r="J38" s="136"/>
      <c r="K38" s="136"/>
      <c r="L38" s="136"/>
      <c r="N38" s="138"/>
      <c r="O38" s="136"/>
      <c r="P38" s="137"/>
      <c r="U38" s="139"/>
      <c r="V38" s="136"/>
      <c r="W38" s="140"/>
      <c r="Y38" s="136"/>
      <c r="Z38" s="136"/>
      <c r="AA38" s="136"/>
      <c r="AB38" s="14"/>
      <c r="AD38" s="136"/>
      <c r="AE38" s="136"/>
      <c r="AF38" s="136"/>
      <c r="AH38" s="138"/>
      <c r="AI38" s="136"/>
      <c r="AJ38" s="137"/>
    </row>
    <row r="39" spans="1:36" x14ac:dyDescent="0.2">
      <c r="A39" s="136"/>
      <c r="B39" s="136"/>
      <c r="C39" s="140"/>
      <c r="E39" s="136"/>
      <c r="F39" s="136"/>
      <c r="G39" s="136"/>
      <c r="H39" s="14"/>
      <c r="J39" s="136"/>
      <c r="K39" s="136"/>
      <c r="L39" s="136"/>
      <c r="N39" s="138"/>
      <c r="O39" s="136"/>
      <c r="P39" s="137"/>
      <c r="U39" s="139"/>
      <c r="V39" s="136"/>
      <c r="W39" s="140"/>
      <c r="Y39" s="136"/>
      <c r="Z39" s="136"/>
      <c r="AA39" s="136"/>
      <c r="AB39" s="14"/>
      <c r="AD39" s="136"/>
      <c r="AE39" s="136"/>
      <c r="AF39" s="136"/>
      <c r="AH39" s="138"/>
      <c r="AI39" s="136"/>
      <c r="AJ39" s="137"/>
    </row>
    <row r="40" spans="1:36" ht="17" thickBot="1" x14ac:dyDescent="0.25">
      <c r="A40" s="6"/>
      <c r="B40" s="7"/>
      <c r="C40" s="24"/>
      <c r="D40" s="7"/>
      <c r="E40" s="7"/>
      <c r="F40" s="7"/>
      <c r="G40" s="7"/>
      <c r="H40" s="24"/>
      <c r="I40" s="7"/>
      <c r="J40" s="7"/>
      <c r="K40" s="7"/>
      <c r="L40" s="7"/>
      <c r="M40" s="7"/>
      <c r="N40" s="25"/>
      <c r="O40" s="7"/>
      <c r="P40" s="8"/>
      <c r="U40" s="6"/>
      <c r="V40" s="7"/>
      <c r="W40" s="24"/>
      <c r="X40" s="7"/>
      <c r="Y40" s="7"/>
      <c r="Z40" s="7"/>
      <c r="AA40" s="7"/>
      <c r="AB40" s="24"/>
      <c r="AC40" s="7"/>
      <c r="AD40" s="7"/>
      <c r="AE40" s="7"/>
      <c r="AF40" s="7"/>
      <c r="AG40" s="7"/>
      <c r="AH40" s="25"/>
      <c r="AI40" s="7"/>
      <c r="AJ40" s="8"/>
    </row>
    <row r="42" spans="1:36" ht="17" thickBot="1" x14ac:dyDescent="0.25"/>
    <row r="43" spans="1:36" x14ac:dyDescent="0.2">
      <c r="A43" s="1"/>
      <c r="B43" s="2"/>
      <c r="C43" s="122" t="s">
        <v>32</v>
      </c>
      <c r="D43" s="122"/>
      <c r="E43" s="2"/>
      <c r="F43" s="122" t="s">
        <v>36</v>
      </c>
      <c r="G43" s="122"/>
      <c r="H43" s="122"/>
      <c r="I43" s="122"/>
      <c r="J43" s="122"/>
      <c r="K43" s="122"/>
      <c r="L43" s="2"/>
      <c r="M43" s="2"/>
      <c r="N43" s="2"/>
      <c r="O43" s="2"/>
      <c r="P43" s="3"/>
      <c r="U43" s="1"/>
      <c r="V43" s="2"/>
      <c r="W43" s="122" t="s">
        <v>32</v>
      </c>
      <c r="X43" s="122"/>
      <c r="Y43" s="2"/>
      <c r="Z43" s="2" t="s">
        <v>37</v>
      </c>
      <c r="AA43" s="2"/>
      <c r="AB43" s="2"/>
      <c r="AC43" s="2"/>
      <c r="AD43" s="2"/>
      <c r="AE43" s="2"/>
      <c r="AF43" s="2"/>
      <c r="AG43" s="2"/>
      <c r="AH43" s="2"/>
      <c r="AI43" s="2"/>
      <c r="AJ43" s="3"/>
    </row>
    <row r="44" spans="1:36" x14ac:dyDescent="0.2">
      <c r="A44" s="4"/>
      <c r="P44" s="5"/>
      <c r="U44" s="4"/>
      <c r="AJ44" s="5"/>
    </row>
    <row r="45" spans="1:36" ht="17" thickBot="1" x14ac:dyDescent="0.25">
      <c r="A45" s="19"/>
      <c r="B45" s="20"/>
      <c r="C45" s="20"/>
      <c r="D45" s="20"/>
      <c r="E45" s="20"/>
      <c r="F45" s="20"/>
      <c r="G45" s="20"/>
      <c r="H45" s="21"/>
      <c r="I45" s="22"/>
      <c r="J45" s="20"/>
      <c r="K45" s="20"/>
      <c r="L45" s="20"/>
      <c r="M45" s="20"/>
      <c r="N45" s="20"/>
      <c r="O45" s="20"/>
      <c r="P45" s="23"/>
      <c r="U45" s="19"/>
      <c r="V45" s="20"/>
      <c r="W45" s="20"/>
      <c r="X45" s="20"/>
      <c r="Y45" s="20"/>
      <c r="Z45" s="20"/>
      <c r="AA45" s="20"/>
      <c r="AB45" s="21"/>
      <c r="AC45" s="22"/>
      <c r="AD45" s="20"/>
      <c r="AE45" s="20"/>
      <c r="AF45" s="20"/>
      <c r="AG45" s="20"/>
      <c r="AH45" s="20"/>
      <c r="AI45" s="20"/>
      <c r="AJ45" s="23"/>
    </row>
    <row r="46" spans="1:36" x14ac:dyDescent="0.2">
      <c r="B46" s="136">
        <f>Sammanställning!B7/Sammanställning!B4</f>
        <v>0</v>
      </c>
      <c r="C46" s="136"/>
      <c r="D46" s="136"/>
      <c r="G46" s="136" t="e">
        <f>Sammanställning!I7/Sammanställning!I4</f>
        <v>#DIV/0!</v>
      </c>
      <c r="H46" s="136"/>
      <c r="I46" s="136"/>
      <c r="J46" s="136"/>
      <c r="L46" s="136" t="e">
        <f>Sammanställning!O7/Sammanställning!O4</f>
        <v>#DIV/0!</v>
      </c>
      <c r="M46" s="136"/>
      <c r="N46" s="136"/>
      <c r="O46" s="136"/>
      <c r="P46" s="5"/>
      <c r="U46" s="4"/>
      <c r="V46" s="136">
        <f>Sammanställning!B7/(Sammanställning!B6+Sammanställning!B5+Sammanställning!B4)</f>
        <v>0</v>
      </c>
      <c r="W46" s="136"/>
      <c r="X46" s="136"/>
      <c r="AA46" s="136">
        <f>Sammanställning!I7/(Sammanställning!I6+Sammanställning!I5+Sammanställning!I4)</f>
        <v>0</v>
      </c>
      <c r="AB46" s="136"/>
      <c r="AC46" s="136"/>
      <c r="AD46" s="136"/>
      <c r="AF46" s="136">
        <f>Sammanställning!O7/(Sammanställning!O6+Sammanställning!O5+Sammanställning!O4)</f>
        <v>0</v>
      </c>
      <c r="AG46" s="136"/>
      <c r="AH46" s="136"/>
      <c r="AI46" s="136"/>
      <c r="AJ46" s="5"/>
    </row>
    <row r="47" spans="1:36" x14ac:dyDescent="0.2">
      <c r="B47" s="136"/>
      <c r="C47" s="136"/>
      <c r="D47" s="136"/>
      <c r="G47" s="136"/>
      <c r="H47" s="136"/>
      <c r="I47" s="136"/>
      <c r="J47" s="136"/>
      <c r="L47" s="136"/>
      <c r="M47" s="136"/>
      <c r="N47" s="136"/>
      <c r="O47" s="136"/>
      <c r="P47" s="5"/>
      <c r="U47" s="4"/>
      <c r="V47" s="136"/>
      <c r="W47" s="136"/>
      <c r="X47" s="136"/>
      <c r="AA47" s="136"/>
      <c r="AB47" s="136"/>
      <c r="AC47" s="136"/>
      <c r="AD47" s="136"/>
      <c r="AF47" s="136"/>
      <c r="AG47" s="136"/>
      <c r="AH47" s="136"/>
      <c r="AI47" s="136"/>
      <c r="AJ47" s="5"/>
    </row>
    <row r="48" spans="1:36" x14ac:dyDescent="0.2">
      <c r="B48" s="136"/>
      <c r="C48" s="136"/>
      <c r="D48" s="136"/>
      <c r="G48" s="136"/>
      <c r="H48" s="136"/>
      <c r="I48" s="136"/>
      <c r="J48" s="136"/>
      <c r="L48" s="136"/>
      <c r="M48" s="136"/>
      <c r="N48" s="136"/>
      <c r="O48" s="136"/>
      <c r="P48" s="5"/>
      <c r="U48" s="4"/>
      <c r="V48" s="136"/>
      <c r="W48" s="136"/>
      <c r="X48" s="136"/>
      <c r="AA48" s="136"/>
      <c r="AB48" s="136"/>
      <c r="AC48" s="136"/>
      <c r="AD48" s="136"/>
      <c r="AF48" s="136"/>
      <c r="AG48" s="136"/>
      <c r="AH48" s="136"/>
      <c r="AI48" s="136"/>
      <c r="AJ48" s="5"/>
    </row>
    <row r="49" spans="1:36" x14ac:dyDescent="0.2">
      <c r="A49" s="17"/>
      <c r="H49" s="17"/>
      <c r="N49" s="17"/>
      <c r="P49" s="5"/>
      <c r="U49" s="26"/>
      <c r="AB49" s="17"/>
      <c r="AH49" s="17"/>
      <c r="AJ49" s="5"/>
    </row>
    <row r="50" spans="1:36" x14ac:dyDescent="0.2">
      <c r="A50" s="19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3"/>
      <c r="U50" s="19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3"/>
    </row>
    <row r="51" spans="1:36" x14ac:dyDescent="0.2">
      <c r="A51" s="136">
        <f>Sammanställning!B12/Sammanställning!B9</f>
        <v>0.16666666666666666</v>
      </c>
      <c r="B51" s="136"/>
      <c r="C51" s="136"/>
      <c r="D51" s="136"/>
      <c r="F51" s="136">
        <f>Sammanställning!G12/Sammanställning!G9</f>
        <v>0.5</v>
      </c>
      <c r="G51" s="136"/>
      <c r="H51" s="136"/>
      <c r="I51" s="136"/>
      <c r="J51" s="136"/>
      <c r="K51" s="136"/>
      <c r="M51" s="136">
        <f>Sammanställning!O12/Sammanställning!O9</f>
        <v>0.33333333333333331</v>
      </c>
      <c r="N51" s="136"/>
      <c r="O51" s="136"/>
      <c r="P51" s="137"/>
      <c r="U51" s="139">
        <f>Sammanställning!B12/(Sammanställning!B11+Sammanställning!B10+Sammanställning!B9)</f>
        <v>9.0909090909090912E-2</v>
      </c>
      <c r="V51" s="136"/>
      <c r="W51" s="136"/>
      <c r="X51" s="136"/>
      <c r="Z51" s="136">
        <f>Sammanställning!G12/(Sammanställning!G11+Sammanställning!G10+Sammanställning!G9)</f>
        <v>0.17391304347826086</v>
      </c>
      <c r="AA51" s="136"/>
      <c r="AB51" s="136"/>
      <c r="AC51" s="136"/>
      <c r="AD51" s="136"/>
      <c r="AE51" s="136"/>
      <c r="AG51" s="136">
        <f>Sammanställning!O12/(Sammanställning!O11+Sammanställning!O10+Sammanställning!O9)</f>
        <v>9.5238095238095233E-2</v>
      </c>
      <c r="AH51" s="136"/>
      <c r="AI51" s="136"/>
      <c r="AJ51" s="137"/>
    </row>
    <row r="52" spans="1:36" x14ac:dyDescent="0.2">
      <c r="A52" s="136"/>
      <c r="B52" s="136"/>
      <c r="C52" s="136"/>
      <c r="D52" s="136"/>
      <c r="F52" s="136"/>
      <c r="G52" s="136"/>
      <c r="H52" s="136"/>
      <c r="I52" s="136"/>
      <c r="J52" s="136"/>
      <c r="K52" s="136"/>
      <c r="M52" s="136"/>
      <c r="N52" s="136"/>
      <c r="O52" s="136"/>
      <c r="P52" s="137"/>
      <c r="U52" s="139"/>
      <c r="V52" s="136"/>
      <c r="W52" s="136"/>
      <c r="X52" s="136"/>
      <c r="Z52" s="136"/>
      <c r="AA52" s="136"/>
      <c r="AB52" s="136"/>
      <c r="AC52" s="136"/>
      <c r="AD52" s="136"/>
      <c r="AE52" s="136"/>
      <c r="AG52" s="136"/>
      <c r="AH52" s="136"/>
      <c r="AI52" s="136"/>
      <c r="AJ52" s="137"/>
    </row>
    <row r="53" spans="1:36" x14ac:dyDescent="0.2">
      <c r="A53" s="136"/>
      <c r="B53" s="136"/>
      <c r="C53" s="136"/>
      <c r="D53" s="136"/>
      <c r="F53" s="136"/>
      <c r="G53" s="136"/>
      <c r="H53" s="136"/>
      <c r="I53" s="136"/>
      <c r="J53" s="136"/>
      <c r="K53" s="136"/>
      <c r="M53" s="136"/>
      <c r="N53" s="136"/>
      <c r="O53" s="136"/>
      <c r="P53" s="137"/>
      <c r="U53" s="139"/>
      <c r="V53" s="136"/>
      <c r="W53" s="136"/>
      <c r="X53" s="136"/>
      <c r="Z53" s="136"/>
      <c r="AA53" s="136"/>
      <c r="AB53" s="136"/>
      <c r="AC53" s="136"/>
      <c r="AD53" s="136"/>
      <c r="AE53" s="136"/>
      <c r="AG53" s="136"/>
      <c r="AH53" s="136"/>
      <c r="AI53" s="136"/>
      <c r="AJ53" s="137"/>
    </row>
    <row r="54" spans="1:36" x14ac:dyDescent="0.2">
      <c r="A54" s="17"/>
      <c r="F54" s="17"/>
      <c r="N54" s="17"/>
      <c r="P54" s="5"/>
      <c r="U54" s="26"/>
      <c r="Z54" s="17"/>
      <c r="AH54" s="17"/>
      <c r="AJ54" s="5"/>
    </row>
    <row r="55" spans="1:36" x14ac:dyDescent="0.2">
      <c r="B55" s="20"/>
      <c r="C55" s="10"/>
      <c r="D55" s="20"/>
      <c r="E55" s="20"/>
      <c r="F55" s="20"/>
      <c r="G55" s="20"/>
      <c r="H55" s="10"/>
      <c r="I55" s="20"/>
      <c r="J55" s="20"/>
      <c r="K55" s="20"/>
      <c r="L55" s="20"/>
      <c r="M55" s="10"/>
      <c r="N55" s="20"/>
      <c r="O55" s="20"/>
      <c r="P55" s="23"/>
      <c r="U55" s="4"/>
      <c r="V55" s="20"/>
      <c r="W55" s="10"/>
      <c r="X55" s="20"/>
      <c r="Y55" s="20"/>
      <c r="Z55" s="20"/>
      <c r="AA55" s="20"/>
      <c r="AB55" s="10"/>
      <c r="AC55" s="20"/>
      <c r="AD55" s="20"/>
      <c r="AE55" s="20"/>
      <c r="AF55" s="20"/>
      <c r="AG55" s="10"/>
      <c r="AH55" s="20"/>
      <c r="AI55" s="20"/>
      <c r="AJ55" s="23"/>
    </row>
    <row r="56" spans="1:36" x14ac:dyDescent="0.2">
      <c r="A56" s="136" t="e">
        <f>Sammanställning!B17/Sammanställning!B14</f>
        <v>#DIV/0!</v>
      </c>
      <c r="B56" s="136"/>
      <c r="C56" s="140"/>
      <c r="E56" s="136" t="e">
        <f>Sammanställning!F17/Sammanställning!F14</f>
        <v>#DIV/0!</v>
      </c>
      <c r="F56" s="136"/>
      <c r="G56" s="136"/>
      <c r="H56" s="14"/>
      <c r="J56" s="136">
        <f>Sammanställning!K17/Sammanställning!K14</f>
        <v>1</v>
      </c>
      <c r="K56" s="136"/>
      <c r="L56" s="136"/>
      <c r="N56" s="138" t="e">
        <f>Sammanställning!O17/Sammanställning!O14</f>
        <v>#DIV/0!</v>
      </c>
      <c r="O56" s="136"/>
      <c r="P56" s="137"/>
      <c r="U56" s="139">
        <f>Sammanställning!B17/(Sammanställning!B16+Sammanställning!B15+Sammanställning!B14)</f>
        <v>0</v>
      </c>
      <c r="V56" s="136"/>
      <c r="W56" s="140"/>
      <c r="Y56" s="136">
        <f>Sammanställning!F17/(Sammanställning!F16+Sammanställning!F15+Sammanställning!F14)</f>
        <v>0</v>
      </c>
      <c r="Z56" s="136"/>
      <c r="AA56" s="136"/>
      <c r="AB56" s="14"/>
      <c r="AD56" s="136">
        <f>Sammanställning!K17/(Sammanställning!K16+Sammanställning!K15+Sammanställning!K14)</f>
        <v>0.16666666666666666</v>
      </c>
      <c r="AE56" s="136"/>
      <c r="AF56" s="136"/>
      <c r="AH56" s="138">
        <f>Sammanställning!O17/(Sammanställning!O16+Sammanställning!O15+Sammanställning!O14)</f>
        <v>0</v>
      </c>
      <c r="AI56" s="136"/>
      <c r="AJ56" s="137"/>
    </row>
    <row r="57" spans="1:36" x14ac:dyDescent="0.2">
      <c r="A57" s="136"/>
      <c r="B57" s="136"/>
      <c r="C57" s="140"/>
      <c r="E57" s="136"/>
      <c r="F57" s="136"/>
      <c r="G57" s="136"/>
      <c r="H57" s="14"/>
      <c r="J57" s="136"/>
      <c r="K57" s="136"/>
      <c r="L57" s="136"/>
      <c r="N57" s="138"/>
      <c r="O57" s="136"/>
      <c r="P57" s="137"/>
      <c r="U57" s="139"/>
      <c r="V57" s="136"/>
      <c r="W57" s="140"/>
      <c r="Y57" s="136"/>
      <c r="Z57" s="136"/>
      <c r="AA57" s="136"/>
      <c r="AB57" s="14"/>
      <c r="AD57" s="136"/>
      <c r="AE57" s="136"/>
      <c r="AF57" s="136"/>
      <c r="AH57" s="138"/>
      <c r="AI57" s="136"/>
      <c r="AJ57" s="137"/>
    </row>
    <row r="58" spans="1:36" x14ac:dyDescent="0.2">
      <c r="A58" s="136"/>
      <c r="B58" s="136"/>
      <c r="C58" s="140"/>
      <c r="E58" s="136"/>
      <c r="F58" s="136"/>
      <c r="G58" s="136"/>
      <c r="H58" s="14"/>
      <c r="J58" s="136"/>
      <c r="K58" s="136"/>
      <c r="L58" s="136"/>
      <c r="N58" s="138"/>
      <c r="O58" s="136"/>
      <c r="P58" s="137"/>
      <c r="U58" s="139"/>
      <c r="V58" s="136"/>
      <c r="W58" s="140"/>
      <c r="Y58" s="136"/>
      <c r="Z58" s="136"/>
      <c r="AA58" s="136"/>
      <c r="AB58" s="14"/>
      <c r="AD58" s="136"/>
      <c r="AE58" s="136"/>
      <c r="AF58" s="136"/>
      <c r="AH58" s="138"/>
      <c r="AI58" s="136"/>
      <c r="AJ58" s="137"/>
    </row>
    <row r="59" spans="1:36" x14ac:dyDescent="0.2">
      <c r="A59" s="136"/>
      <c r="B59" s="136"/>
      <c r="C59" s="140"/>
      <c r="E59" s="136"/>
      <c r="F59" s="136"/>
      <c r="G59" s="136"/>
      <c r="H59" s="14"/>
      <c r="J59" s="136"/>
      <c r="K59" s="136"/>
      <c r="L59" s="136"/>
      <c r="N59" s="138"/>
      <c r="O59" s="136"/>
      <c r="P59" s="137"/>
      <c r="U59" s="139"/>
      <c r="V59" s="136"/>
      <c r="W59" s="140"/>
      <c r="Y59" s="136"/>
      <c r="Z59" s="136"/>
      <c r="AA59" s="136"/>
      <c r="AB59" s="14"/>
      <c r="AD59" s="136"/>
      <c r="AE59" s="136"/>
      <c r="AF59" s="136"/>
      <c r="AH59" s="138"/>
      <c r="AI59" s="136"/>
      <c r="AJ59" s="137"/>
    </row>
    <row r="60" spans="1:36" x14ac:dyDescent="0.2">
      <c r="A60" s="136"/>
      <c r="B60" s="136"/>
      <c r="C60" s="140"/>
      <c r="E60" s="136"/>
      <c r="F60" s="136"/>
      <c r="G60" s="136"/>
      <c r="H60" s="14"/>
      <c r="J60" s="136"/>
      <c r="K60" s="136"/>
      <c r="L60" s="136"/>
      <c r="N60" s="138"/>
      <c r="O60" s="136"/>
      <c r="P60" s="137"/>
      <c r="U60" s="139"/>
      <c r="V60" s="136"/>
      <c r="W60" s="140"/>
      <c r="Y60" s="136"/>
      <c r="Z60" s="136"/>
      <c r="AA60" s="136"/>
      <c r="AB60" s="14"/>
      <c r="AD60" s="136"/>
      <c r="AE60" s="136"/>
      <c r="AF60" s="136"/>
      <c r="AH60" s="138"/>
      <c r="AI60" s="136"/>
      <c r="AJ60" s="137"/>
    </row>
    <row r="61" spans="1:36" ht="17" thickBot="1" x14ac:dyDescent="0.25">
      <c r="A61" s="6"/>
      <c r="B61" s="7"/>
      <c r="C61" s="24"/>
      <c r="D61" s="7"/>
      <c r="E61" s="7"/>
      <c r="F61" s="7"/>
      <c r="G61" s="7"/>
      <c r="H61" s="24"/>
      <c r="I61" s="7"/>
      <c r="J61" s="7"/>
      <c r="K61" s="7"/>
      <c r="L61" s="7"/>
      <c r="M61" s="7"/>
      <c r="N61" s="25"/>
      <c r="O61" s="7"/>
      <c r="P61" s="8"/>
      <c r="U61" s="6"/>
      <c r="V61" s="7"/>
      <c r="W61" s="24"/>
      <c r="X61" s="7"/>
      <c r="Y61" s="7"/>
      <c r="Z61" s="7"/>
      <c r="AA61" s="7"/>
      <c r="AB61" s="24"/>
      <c r="AC61" s="7"/>
      <c r="AD61" s="7"/>
      <c r="AE61" s="7"/>
      <c r="AF61" s="7"/>
      <c r="AG61" s="7"/>
      <c r="AH61" s="25"/>
      <c r="AI61" s="7"/>
      <c r="AJ61" s="8"/>
    </row>
  </sheetData>
  <mergeCells count="70">
    <mergeCell ref="AF46:AI48"/>
    <mergeCell ref="U51:X53"/>
    <mergeCell ref="Z51:AE53"/>
    <mergeCell ref="AG51:AJ53"/>
    <mergeCell ref="U56:W60"/>
    <mergeCell ref="Y56:AA60"/>
    <mergeCell ref="AD56:AF60"/>
    <mergeCell ref="AH56:AJ60"/>
    <mergeCell ref="AA46:AD48"/>
    <mergeCell ref="A56:C60"/>
    <mergeCell ref="E56:G60"/>
    <mergeCell ref="J56:L60"/>
    <mergeCell ref="N56:P60"/>
    <mergeCell ref="W43:X43"/>
    <mergeCell ref="V46:X48"/>
    <mergeCell ref="B46:D48"/>
    <mergeCell ref="G46:J48"/>
    <mergeCell ref="L46:O48"/>
    <mergeCell ref="A51:D53"/>
    <mergeCell ref="F51:K53"/>
    <mergeCell ref="M51:P53"/>
    <mergeCell ref="C43:D43"/>
    <mergeCell ref="F43:K43"/>
    <mergeCell ref="U35:W39"/>
    <mergeCell ref="Y35:AA39"/>
    <mergeCell ref="AD35:AF39"/>
    <mergeCell ref="AH35:AJ39"/>
    <mergeCell ref="Y22:AF22"/>
    <mergeCell ref="V25:X27"/>
    <mergeCell ref="AA25:AD27"/>
    <mergeCell ref="AF25:AI27"/>
    <mergeCell ref="U30:X32"/>
    <mergeCell ref="Z30:AE32"/>
    <mergeCell ref="AG30:AJ32"/>
    <mergeCell ref="A30:D32"/>
    <mergeCell ref="F30:K32"/>
    <mergeCell ref="M30:P32"/>
    <mergeCell ref="A35:C39"/>
    <mergeCell ref="E35:G39"/>
    <mergeCell ref="J35:L39"/>
    <mergeCell ref="N35:P39"/>
    <mergeCell ref="AF4:AI6"/>
    <mergeCell ref="AA4:AD6"/>
    <mergeCell ref="C22:D22"/>
    <mergeCell ref="B25:D27"/>
    <mergeCell ref="G25:J27"/>
    <mergeCell ref="L25:O27"/>
    <mergeCell ref="F22:K22"/>
    <mergeCell ref="W22:X22"/>
    <mergeCell ref="U9:X11"/>
    <mergeCell ref="U14:W18"/>
    <mergeCell ref="Y14:AA18"/>
    <mergeCell ref="AD14:AF18"/>
    <mergeCell ref="AH14:AJ18"/>
    <mergeCell ref="AG9:AJ11"/>
    <mergeCell ref="Z9:AE11"/>
    <mergeCell ref="A14:C18"/>
    <mergeCell ref="A9:D11"/>
    <mergeCell ref="M9:P11"/>
    <mergeCell ref="E14:G18"/>
    <mergeCell ref="J14:L18"/>
    <mergeCell ref="N14:P18"/>
    <mergeCell ref="F9:K11"/>
    <mergeCell ref="G1:J1"/>
    <mergeCell ref="AA1:AD1"/>
    <mergeCell ref="B4:D6"/>
    <mergeCell ref="G4:J6"/>
    <mergeCell ref="L4:O6"/>
    <mergeCell ref="C1:D1"/>
    <mergeCell ref="V4:X6"/>
  </mergeCells>
  <pageMargins left="0.7" right="0.7" top="0.75" bottom="0.75" header="0.3" footer="0.3"/>
  <pageSetup paperSize="9" orientation="landscape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CE48F-CD49-8347-9E33-DA559BDB90EF}">
  <sheetPr codeName="Blad9"/>
  <dimension ref="B4:M33"/>
  <sheetViews>
    <sheetView topLeftCell="D1" zoomScale="140" zoomScaleNormal="140" workbookViewId="0">
      <selection activeCell="M21" sqref="M21"/>
    </sheetView>
  </sheetViews>
  <sheetFormatPr baseColWidth="10" defaultRowHeight="16" x14ac:dyDescent="0.2"/>
  <cols>
    <col min="3" max="3" width="21.83203125" customWidth="1"/>
    <col min="5" max="5" width="14" customWidth="1"/>
    <col min="6" max="6" width="10.83203125" customWidth="1"/>
    <col min="7" max="10" width="14.1640625" customWidth="1"/>
    <col min="12" max="12" width="10.83203125" customWidth="1"/>
  </cols>
  <sheetData>
    <row r="4" spans="6:11" x14ac:dyDescent="0.2">
      <c r="F4" s="119"/>
      <c r="G4" s="119"/>
      <c r="H4" s="119"/>
      <c r="I4" s="119"/>
      <c r="J4" s="119"/>
      <c r="K4" s="119"/>
    </row>
    <row r="5" spans="6:11" x14ac:dyDescent="0.2">
      <c r="F5" s="119"/>
      <c r="G5" s="119"/>
      <c r="H5" s="119"/>
      <c r="I5" s="119"/>
      <c r="J5" s="119"/>
      <c r="K5" s="119"/>
    </row>
    <row r="6" spans="6:11" x14ac:dyDescent="0.2">
      <c r="F6" s="119"/>
      <c r="G6" s="119"/>
      <c r="H6" s="119"/>
      <c r="I6" s="119"/>
      <c r="J6" s="119"/>
      <c r="K6" s="119"/>
    </row>
    <row r="7" spans="6:11" x14ac:dyDescent="0.2">
      <c r="F7" s="119"/>
      <c r="G7" s="119"/>
      <c r="H7" s="119"/>
      <c r="I7" s="119"/>
      <c r="J7" s="119"/>
      <c r="K7" s="119"/>
    </row>
    <row r="8" spans="6:11" x14ac:dyDescent="0.2">
      <c r="F8" s="119"/>
      <c r="G8" s="119"/>
      <c r="H8" s="119"/>
      <c r="I8" s="119"/>
      <c r="J8" s="119"/>
      <c r="K8" s="119"/>
    </row>
    <row r="9" spans="6:11" x14ac:dyDescent="0.2">
      <c r="F9" s="119"/>
      <c r="G9" s="119"/>
      <c r="H9" s="119"/>
      <c r="I9" s="119"/>
      <c r="J9" s="119"/>
      <c r="K9" s="119"/>
    </row>
    <row r="10" spans="6:11" x14ac:dyDescent="0.2">
      <c r="F10" s="119"/>
      <c r="G10" s="119"/>
      <c r="H10" s="119"/>
      <c r="I10" s="119"/>
      <c r="J10" s="119"/>
      <c r="K10" s="119"/>
    </row>
    <row r="11" spans="6:11" x14ac:dyDescent="0.2">
      <c r="F11" s="119"/>
      <c r="G11" s="119"/>
      <c r="H11" s="119"/>
      <c r="I11" s="119"/>
      <c r="J11" s="119"/>
      <c r="K11" s="119"/>
    </row>
    <row r="12" spans="6:11" x14ac:dyDescent="0.2">
      <c r="F12" s="119"/>
      <c r="G12" s="119"/>
      <c r="H12" s="119"/>
      <c r="I12" s="119"/>
      <c r="J12" s="119"/>
      <c r="K12" s="119"/>
    </row>
    <row r="13" spans="6:11" x14ac:dyDescent="0.2">
      <c r="F13" s="119"/>
      <c r="G13" s="119"/>
      <c r="H13" s="119"/>
      <c r="I13" s="119"/>
      <c r="J13" s="119"/>
      <c r="K13" s="119"/>
    </row>
    <row r="14" spans="6:11" x14ac:dyDescent="0.2">
      <c r="F14" s="119"/>
      <c r="G14" s="119"/>
      <c r="H14" s="119"/>
      <c r="I14" s="119"/>
      <c r="J14" s="119"/>
      <c r="K14" s="119"/>
    </row>
    <row r="15" spans="6:11" x14ac:dyDescent="0.2">
      <c r="F15" s="119"/>
      <c r="G15" s="119"/>
      <c r="H15" s="119"/>
      <c r="I15" s="119"/>
      <c r="J15" s="119"/>
      <c r="K15" s="119"/>
    </row>
    <row r="16" spans="6:11" x14ac:dyDescent="0.2">
      <c r="F16" s="119"/>
      <c r="G16" s="119"/>
      <c r="H16" s="119"/>
      <c r="I16" s="119"/>
      <c r="J16" s="119"/>
      <c r="K16" s="119"/>
    </row>
    <row r="17" spans="2:13" x14ac:dyDescent="0.2">
      <c r="F17" s="119"/>
      <c r="G17" s="119"/>
      <c r="H17" s="119"/>
      <c r="I17" s="119"/>
      <c r="J17" s="119"/>
      <c r="K17" s="119"/>
    </row>
    <row r="18" spans="2:13" x14ac:dyDescent="0.2">
      <c r="F18" s="119"/>
      <c r="G18" s="119"/>
      <c r="H18" s="119"/>
      <c r="I18" s="119"/>
      <c r="J18" s="119"/>
      <c r="K18" s="119"/>
    </row>
    <row r="19" spans="2:13" x14ac:dyDescent="0.2">
      <c r="F19" s="119"/>
      <c r="G19" s="119"/>
      <c r="H19" s="119"/>
      <c r="I19" s="119"/>
      <c r="J19" s="119"/>
      <c r="K19" s="119"/>
    </row>
    <row r="20" spans="2:13" x14ac:dyDescent="0.2">
      <c r="M20" t="e" vm="1">
        <v>#VALUE!</v>
      </c>
    </row>
    <row r="21" spans="2:13" x14ac:dyDescent="0.2">
      <c r="C21" t="s">
        <v>88</v>
      </c>
    </row>
    <row r="22" spans="2:13" x14ac:dyDescent="0.2">
      <c r="B22" t="s">
        <v>76</v>
      </c>
      <c r="C22" t="s">
        <v>89</v>
      </c>
    </row>
    <row r="23" spans="2:13" x14ac:dyDescent="0.2">
      <c r="B23" t="s">
        <v>77</v>
      </c>
      <c r="C23" t="s">
        <v>90</v>
      </c>
    </row>
    <row r="24" spans="2:13" x14ac:dyDescent="0.2">
      <c r="B24" t="s">
        <v>78</v>
      </c>
      <c r="C24" t="s">
        <v>91</v>
      </c>
    </row>
    <row r="25" spans="2:13" x14ac:dyDescent="0.2">
      <c r="B25" t="s">
        <v>79</v>
      </c>
      <c r="C25" t="s">
        <v>92</v>
      </c>
    </row>
    <row r="26" spans="2:13" x14ac:dyDescent="0.2">
      <c r="B26" t="s">
        <v>80</v>
      </c>
      <c r="C26" t="s">
        <v>93</v>
      </c>
    </row>
    <row r="27" spans="2:13" x14ac:dyDescent="0.2">
      <c r="B27" t="s">
        <v>81</v>
      </c>
      <c r="C27" t="s">
        <v>94</v>
      </c>
    </row>
    <row r="28" spans="2:13" x14ac:dyDescent="0.2">
      <c r="B28" t="s">
        <v>82</v>
      </c>
      <c r="C28" t="s">
        <v>95</v>
      </c>
    </row>
    <row r="29" spans="2:13" x14ac:dyDescent="0.2">
      <c r="B29" t="s">
        <v>83</v>
      </c>
      <c r="C29" t="s">
        <v>96</v>
      </c>
    </row>
    <row r="30" spans="2:13" x14ac:dyDescent="0.2">
      <c r="B30" t="s">
        <v>84</v>
      </c>
      <c r="C30" t="s">
        <v>97</v>
      </c>
    </row>
    <row r="31" spans="2:13" x14ac:dyDescent="0.2">
      <c r="B31" t="s">
        <v>85</v>
      </c>
      <c r="C31" t="s">
        <v>98</v>
      </c>
    </row>
    <row r="32" spans="2:13" x14ac:dyDescent="0.2">
      <c r="B32" t="s">
        <v>86</v>
      </c>
      <c r="C32" t="s">
        <v>99</v>
      </c>
    </row>
    <row r="33" spans="2:3" x14ac:dyDescent="0.2">
      <c r="B33" t="s">
        <v>87</v>
      </c>
      <c r="C33" t="s">
        <v>100</v>
      </c>
    </row>
  </sheetData>
  <mergeCells count="12">
    <mergeCell ref="I4:K6"/>
    <mergeCell ref="F4:H6"/>
    <mergeCell ref="F11:F14"/>
    <mergeCell ref="K11:K14"/>
    <mergeCell ref="G15:H19"/>
    <mergeCell ref="I15:J19"/>
    <mergeCell ref="H7:I10"/>
    <mergeCell ref="F7:G10"/>
    <mergeCell ref="J7:K10"/>
    <mergeCell ref="F15:F19"/>
    <mergeCell ref="K15:K19"/>
    <mergeCell ref="G11:J14"/>
  </mergeCells>
  <phoneticPr fontId="17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23FA5-80EA-0E40-A965-02F9ADC57ED3}">
  <sheetPr codeName="Blad10"/>
  <dimension ref="A1:L28"/>
  <sheetViews>
    <sheetView workbookViewId="0">
      <selection activeCell="G28" sqref="G28"/>
    </sheetView>
  </sheetViews>
  <sheetFormatPr baseColWidth="10" defaultRowHeight="16" x14ac:dyDescent="0.2"/>
  <sheetData>
    <row r="1" spans="1:12" x14ac:dyDescent="0.2">
      <c r="A1" t="s">
        <v>103</v>
      </c>
      <c r="B1" t="s">
        <v>101</v>
      </c>
      <c r="C1" t="s">
        <v>102</v>
      </c>
      <c r="D1" t="s">
        <v>104</v>
      </c>
      <c r="E1" t="s">
        <v>130</v>
      </c>
    </row>
    <row r="2" spans="1:12" x14ac:dyDescent="0.2">
      <c r="A2">
        <v>8</v>
      </c>
      <c r="B2" t="s">
        <v>109</v>
      </c>
      <c r="C2" t="s">
        <v>107</v>
      </c>
      <c r="D2">
        <v>45</v>
      </c>
      <c r="E2" t="s">
        <v>131</v>
      </c>
    </row>
    <row r="3" spans="1:12" x14ac:dyDescent="0.2">
      <c r="A3">
        <v>8</v>
      </c>
      <c r="B3" t="s">
        <v>110</v>
      </c>
      <c r="C3" t="s">
        <v>108</v>
      </c>
      <c r="D3">
        <v>4</v>
      </c>
    </row>
    <row r="4" spans="1:12" x14ac:dyDescent="0.2">
      <c r="A4">
        <v>8</v>
      </c>
      <c r="B4" t="s">
        <v>113</v>
      </c>
      <c r="C4" t="s">
        <v>110</v>
      </c>
      <c r="D4">
        <v>45</v>
      </c>
      <c r="E4" t="s">
        <v>131</v>
      </c>
    </row>
    <row r="5" spans="1:12" x14ac:dyDescent="0.2">
      <c r="A5">
        <v>8</v>
      </c>
      <c r="B5" t="s">
        <v>113</v>
      </c>
      <c r="C5" t="s">
        <v>110</v>
      </c>
      <c r="D5">
        <v>45</v>
      </c>
      <c r="E5" t="s">
        <v>131</v>
      </c>
    </row>
    <row r="6" spans="1:12" x14ac:dyDescent="0.2">
      <c r="A6">
        <v>12</v>
      </c>
      <c r="B6" t="s">
        <v>115</v>
      </c>
      <c r="C6" t="s">
        <v>114</v>
      </c>
      <c r="D6">
        <v>37</v>
      </c>
    </row>
    <row r="7" spans="1:12" x14ac:dyDescent="0.2">
      <c r="A7">
        <v>12</v>
      </c>
      <c r="B7" t="s">
        <v>112</v>
      </c>
      <c r="C7" t="s">
        <v>106</v>
      </c>
      <c r="D7">
        <v>4</v>
      </c>
      <c r="E7" t="s">
        <v>131</v>
      </c>
    </row>
    <row r="8" spans="1:12" x14ac:dyDescent="0.2">
      <c r="A8">
        <v>14</v>
      </c>
      <c r="B8" t="s">
        <v>111</v>
      </c>
      <c r="C8" t="s">
        <v>108</v>
      </c>
      <c r="D8">
        <v>4</v>
      </c>
      <c r="E8" t="s">
        <v>131</v>
      </c>
    </row>
    <row r="9" spans="1:12" x14ac:dyDescent="0.2">
      <c r="A9">
        <v>14</v>
      </c>
      <c r="B9" t="s">
        <v>112</v>
      </c>
      <c r="C9" t="s">
        <v>108</v>
      </c>
      <c r="D9">
        <v>4</v>
      </c>
      <c r="E9" t="s">
        <v>131</v>
      </c>
    </row>
    <row r="10" spans="1:12" x14ac:dyDescent="0.2">
      <c r="A10">
        <v>14</v>
      </c>
      <c r="B10" t="s">
        <v>108</v>
      </c>
      <c r="C10" t="s">
        <v>109</v>
      </c>
      <c r="D10">
        <v>8</v>
      </c>
      <c r="E10" t="s">
        <v>131</v>
      </c>
    </row>
    <row r="11" spans="1:12" x14ac:dyDescent="0.2">
      <c r="A11">
        <v>14</v>
      </c>
      <c r="B11" t="s">
        <v>112</v>
      </c>
      <c r="C11" t="s">
        <v>111</v>
      </c>
      <c r="D11">
        <v>97</v>
      </c>
      <c r="L11" t="s">
        <v>88</v>
      </c>
    </row>
    <row r="12" spans="1:12" x14ac:dyDescent="0.2">
      <c r="A12">
        <v>24</v>
      </c>
      <c r="B12" t="s">
        <v>112</v>
      </c>
      <c r="C12" t="s">
        <v>109</v>
      </c>
      <c r="D12">
        <v>97</v>
      </c>
      <c r="K12" t="s">
        <v>118</v>
      </c>
      <c r="L12" t="s">
        <v>89</v>
      </c>
    </row>
    <row r="13" spans="1:12" x14ac:dyDescent="0.2">
      <c r="A13">
        <v>25</v>
      </c>
      <c r="B13" t="s">
        <v>110</v>
      </c>
      <c r="C13" t="s">
        <v>105</v>
      </c>
      <c r="D13">
        <v>96</v>
      </c>
      <c r="K13" t="s">
        <v>119</v>
      </c>
      <c r="L13" t="s">
        <v>90</v>
      </c>
    </row>
    <row r="14" spans="1:12" x14ac:dyDescent="0.2">
      <c r="A14">
        <v>25</v>
      </c>
      <c r="B14" t="s">
        <v>113</v>
      </c>
      <c r="C14" t="s">
        <v>108</v>
      </c>
      <c r="D14">
        <v>4</v>
      </c>
      <c r="E14" t="s">
        <v>131</v>
      </c>
      <c r="K14" t="s">
        <v>120</v>
      </c>
      <c r="L14" t="s">
        <v>91</v>
      </c>
    </row>
    <row r="15" spans="1:12" x14ac:dyDescent="0.2">
      <c r="A15">
        <v>27</v>
      </c>
      <c r="B15" t="s">
        <v>115</v>
      </c>
      <c r="C15" t="s">
        <v>106</v>
      </c>
      <c r="D15">
        <v>24</v>
      </c>
      <c r="K15" t="s">
        <v>121</v>
      </c>
      <c r="L15" t="s">
        <v>92</v>
      </c>
    </row>
    <row r="16" spans="1:12" x14ac:dyDescent="0.2">
      <c r="A16" s="20">
        <v>27</v>
      </c>
      <c r="B16" s="20" t="s">
        <v>115</v>
      </c>
      <c r="C16" s="20" t="s">
        <v>109</v>
      </c>
      <c r="D16" s="20">
        <v>97</v>
      </c>
      <c r="E16" s="20"/>
      <c r="G16" t="s">
        <v>116</v>
      </c>
      <c r="K16" t="s">
        <v>122</v>
      </c>
      <c r="L16" t="s">
        <v>93</v>
      </c>
    </row>
    <row r="17" spans="1:12" x14ac:dyDescent="0.2">
      <c r="A17">
        <v>27</v>
      </c>
      <c r="B17" t="s">
        <v>110</v>
      </c>
      <c r="C17" t="s">
        <v>110</v>
      </c>
      <c r="D17">
        <v>4</v>
      </c>
      <c r="E17" t="s">
        <v>131</v>
      </c>
      <c r="K17" t="s">
        <v>123</v>
      </c>
      <c r="L17" t="s">
        <v>94</v>
      </c>
    </row>
    <row r="18" spans="1:12" x14ac:dyDescent="0.2">
      <c r="A18">
        <v>27</v>
      </c>
      <c r="B18" t="s">
        <v>114</v>
      </c>
      <c r="C18" t="s">
        <v>110</v>
      </c>
      <c r="D18">
        <v>34</v>
      </c>
      <c r="K18" t="s">
        <v>124</v>
      </c>
      <c r="L18" t="s">
        <v>95</v>
      </c>
    </row>
    <row r="19" spans="1:12" x14ac:dyDescent="0.2">
      <c r="A19">
        <v>34</v>
      </c>
      <c r="B19" t="s">
        <v>112</v>
      </c>
      <c r="C19" t="s">
        <v>107</v>
      </c>
      <c r="D19">
        <v>12</v>
      </c>
      <c r="K19" t="s">
        <v>125</v>
      </c>
      <c r="L19" t="s">
        <v>96</v>
      </c>
    </row>
    <row r="20" spans="1:12" x14ac:dyDescent="0.2">
      <c r="A20">
        <v>34</v>
      </c>
      <c r="B20" t="s">
        <v>113</v>
      </c>
      <c r="C20" t="s">
        <v>110</v>
      </c>
      <c r="D20">
        <v>27</v>
      </c>
      <c r="K20" t="s">
        <v>126</v>
      </c>
      <c r="L20" t="s">
        <v>97</v>
      </c>
    </row>
    <row r="21" spans="1:12" x14ac:dyDescent="0.2">
      <c r="A21">
        <v>37</v>
      </c>
      <c r="B21" t="s">
        <v>112</v>
      </c>
      <c r="C21" t="s">
        <v>112</v>
      </c>
      <c r="D21">
        <v>34</v>
      </c>
      <c r="K21" t="s">
        <v>127</v>
      </c>
      <c r="L21" t="s">
        <v>98</v>
      </c>
    </row>
    <row r="22" spans="1:12" x14ac:dyDescent="0.2">
      <c r="A22" s="20">
        <v>37</v>
      </c>
      <c r="B22" s="20" t="s">
        <v>108</v>
      </c>
      <c r="C22" s="20" t="s">
        <v>107</v>
      </c>
      <c r="D22" s="20">
        <v>24</v>
      </c>
      <c r="E22" s="20"/>
      <c r="G22" t="s">
        <v>117</v>
      </c>
      <c r="K22" t="s">
        <v>128</v>
      </c>
      <c r="L22" t="s">
        <v>99</v>
      </c>
    </row>
    <row r="23" spans="1:12" x14ac:dyDescent="0.2">
      <c r="A23">
        <v>37</v>
      </c>
      <c r="B23" t="s">
        <v>111</v>
      </c>
      <c r="C23" t="s">
        <v>108</v>
      </c>
      <c r="D23">
        <v>4</v>
      </c>
      <c r="E23" t="s">
        <v>131</v>
      </c>
      <c r="K23" t="s">
        <v>129</v>
      </c>
      <c r="L23" t="s">
        <v>100</v>
      </c>
    </row>
    <row r="24" spans="1:12" x14ac:dyDescent="0.2">
      <c r="A24">
        <v>37</v>
      </c>
      <c r="B24" t="s">
        <v>113</v>
      </c>
      <c r="C24" t="s">
        <v>110</v>
      </c>
      <c r="D24">
        <v>27</v>
      </c>
    </row>
    <row r="25" spans="1:12" x14ac:dyDescent="0.2">
      <c r="A25">
        <v>45</v>
      </c>
      <c r="B25" t="s">
        <v>107</v>
      </c>
      <c r="C25" t="s">
        <v>106</v>
      </c>
      <c r="D25">
        <v>4</v>
      </c>
      <c r="E25" t="s">
        <v>131</v>
      </c>
    </row>
    <row r="26" spans="1:12" x14ac:dyDescent="0.2">
      <c r="A26">
        <v>45</v>
      </c>
      <c r="B26" t="s">
        <v>115</v>
      </c>
      <c r="C26" t="s">
        <v>110</v>
      </c>
      <c r="D26">
        <v>4</v>
      </c>
      <c r="E26" t="s">
        <v>131</v>
      </c>
    </row>
    <row r="27" spans="1:12" x14ac:dyDescent="0.2">
      <c r="A27">
        <v>97</v>
      </c>
      <c r="B27" t="s">
        <v>113</v>
      </c>
      <c r="C27" t="s">
        <v>110</v>
      </c>
      <c r="D27">
        <v>27</v>
      </c>
    </row>
    <row r="28" spans="1:12" x14ac:dyDescent="0.2">
      <c r="A28">
        <v>97</v>
      </c>
      <c r="B28" t="s">
        <v>112</v>
      </c>
      <c r="C28" t="s">
        <v>110</v>
      </c>
      <c r="D28">
        <v>27</v>
      </c>
    </row>
  </sheetData>
  <sortState xmlns:xlrd2="http://schemas.microsoft.com/office/spreadsheetml/2017/richdata2" ref="A2:E28">
    <sortCondition ref="A1:A2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Kalkylblad</vt:lpstr>
      </vt:variant>
      <vt:variant>
        <vt:i4>9</vt:i4>
      </vt:variant>
      <vt:variant>
        <vt:lpstr>Namngivna områden</vt:lpstr>
      </vt:variant>
      <vt:variant>
        <vt:i4>12</vt:i4>
      </vt:variant>
    </vt:vector>
  </HeadingPairs>
  <TitlesOfParts>
    <vt:vector size="21" baseType="lpstr">
      <vt:lpstr>Sammanställning</vt:lpstr>
      <vt:lpstr>p1</vt:lpstr>
      <vt:lpstr>p2</vt:lpstr>
      <vt:lpstr>p3</vt:lpstr>
      <vt:lpstr>p4</vt:lpstr>
      <vt:lpstr>SkottSpelare</vt:lpstr>
      <vt:lpstr>Träffbild effektivitet + ZonRäd</vt:lpstr>
      <vt:lpstr>Zonkarta</vt:lpstr>
      <vt:lpstr>Data</vt:lpstr>
      <vt:lpstr>z1_</vt:lpstr>
      <vt:lpstr>z10_</vt:lpstr>
      <vt:lpstr>z11_</vt:lpstr>
      <vt:lpstr>z12_</vt:lpstr>
      <vt:lpstr>z2_</vt:lpstr>
      <vt:lpstr>z3_</vt:lpstr>
      <vt:lpstr>z4_</vt:lpstr>
      <vt:lpstr>z5_</vt:lpstr>
      <vt:lpstr>z6_</vt:lpstr>
      <vt:lpstr>z7_</vt:lpstr>
      <vt:lpstr>z8_</vt:lpstr>
      <vt:lpstr>z9_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Patrik Börjesson</dc:creator>
  <cp:lastModifiedBy>Patrik Börjesson</cp:lastModifiedBy>
  <dcterms:created xsi:type="dcterms:W3CDTF">2021-09-11T07:47:06Z</dcterms:created>
  <dcterms:modified xsi:type="dcterms:W3CDTF">2026-10-24T07:12:51Z</dcterms:modified>
</cp:coreProperties>
</file>